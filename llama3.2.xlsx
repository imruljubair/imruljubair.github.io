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" sheetId="1" r:id="rId1"/>
  </sheets>
  <definedNames>
    <definedName name="epsilon">1e-05</definedName>
    <definedName name="step_01_embedding_weight">'Pipeline'!$K$16:$R$19</definedName>
    <definedName name="step_01_output">'Pipeline'!$U$16:$Y$19</definedName>
    <definedName name="step_01_token_input">'Pipeline'!$U$5:$Y$12</definedName>
    <definedName name="step_02_output">'Pipeline'!$U$24:$Y$27</definedName>
    <definedName name="step_03_input">'Pipeline'!$U$24:$Y$27</definedName>
    <definedName name="step_03_normalized">'Pipeline'!$U$36:$Y$39</definedName>
    <definedName name="step_03_output">'Pipeline'!$U$43:$Y$46</definedName>
    <definedName name="step_03_rms">'Pipeline'!$U$32:$Y$32</definedName>
    <definedName name="step_03_scale">'Pipeline'!$R$43:$R$46</definedName>
    <definedName name="step_04_input">'Pipeline'!$U$43:$Y$46</definedName>
    <definedName name="step_04_output">'Pipeline'!$U$51:$Y$58</definedName>
    <definedName name="step_04_output_k1">'Pipeline'!$U$51:$Y$54</definedName>
    <definedName name="step_04_output_k2">'Pipeline'!$U$55:$Y$58</definedName>
    <definedName name="step_04_projection_weight">'Pipeline'!$O$51:$R$58</definedName>
    <definedName name="step_04_weight_k1">'Pipeline'!$O$51:$R$54</definedName>
    <definedName name="step_04_weight_k2">'Pipeline'!$O$55:$R$58</definedName>
    <definedName name="step_05_input">'Pipeline'!$U$51:$Y$58</definedName>
    <definedName name="step_05_output">'Pipeline'!$U$85:$Y$92</definedName>
    <definedName name="step_05_paired_input">'Pipeline'!$U$63:$Y$70</definedName>
    <definedName name="step_05_paired_output">'Pipeline'!$U$74:$Y$81</definedName>
    <definedName name="step_05_proxy_head_dim">4</definedName>
    <definedName name="step_05_rope_base">500000</definedName>
    <definedName name="step_05_rotation_0_0">'Pipeline'!$E$74:$F$75</definedName>
    <definedName name="step_05_rotation_0_1">'Pipeline'!$E$78:$F$79</definedName>
    <definedName name="step_05_rotation_1_0">'Pipeline'!$H$74:$I$75</definedName>
    <definedName name="step_05_rotation_1_1">'Pipeline'!$H$78:$I$79</definedName>
    <definedName name="step_05_rotation_2_0">'Pipeline'!$K$74:$L$75</definedName>
    <definedName name="step_05_rotation_2_1">'Pipeline'!$K$78:$L$79</definedName>
    <definedName name="step_05_rotation_3_0">'Pipeline'!$N$74:$O$75</definedName>
    <definedName name="step_05_rotation_3_1">'Pipeline'!$N$78:$O$79</definedName>
    <definedName name="step_05_rotation_4_0">'Pipeline'!$Q$74:$R$75</definedName>
    <definedName name="step_05_rotation_4_1">'Pipeline'!$Q$78:$R$79</definedName>
    <definedName name="step_06_input">'Pipeline'!$U$43:$Y$46</definedName>
    <definedName name="step_06_output">'Pipeline'!$U$97:$Y$104</definedName>
    <definedName name="step_06_output_v1">'Pipeline'!$U$97:$Y$100</definedName>
    <definedName name="step_06_output_v2">'Pipeline'!$U$101:$Y$104</definedName>
    <definedName name="step_06_projection_weight">'Pipeline'!$O$97:$R$104</definedName>
    <definedName name="step_06_weight_v1">'Pipeline'!$O$97:$R$100</definedName>
    <definedName name="step_06_weight_v2">'Pipeline'!$O$101:$R$104</definedName>
    <definedName name="step_07_input">'Pipeline'!$U$43:$Y$46</definedName>
    <definedName name="step_07_output">'Pipeline'!$U$109:$Y$124</definedName>
    <definedName name="step_07_output_q1">'Pipeline'!$U$109:$Y$112</definedName>
    <definedName name="step_07_output_q2">'Pipeline'!$U$113:$Y$116</definedName>
    <definedName name="step_07_output_q3">'Pipeline'!$U$117:$Y$120</definedName>
    <definedName name="step_07_output_q4">'Pipeline'!$U$121:$Y$124</definedName>
    <definedName name="step_07_projection_weight">'Pipeline'!$O$109:$R$124</definedName>
    <definedName name="step_07_weight_q1">'Pipeline'!$O$109:$R$112</definedName>
    <definedName name="step_07_weight_q2">'Pipeline'!$O$113:$R$116</definedName>
    <definedName name="step_07_weight_q3">'Pipeline'!$O$117:$R$120</definedName>
    <definedName name="step_07_weight_q4">'Pipeline'!$O$121:$R$124</definedName>
    <definedName name="step_08_input">'Pipeline'!$U$109:$Y$124</definedName>
    <definedName name="step_08_output">'Pipeline'!$U$167:$Y$182</definedName>
    <definedName name="step_08_paired_input">'Pipeline'!$U$129:$Y$144</definedName>
    <definedName name="step_08_paired_output">'Pipeline'!$U$148:$Y$163</definedName>
    <definedName name="step_08_proxy_head_dim">4</definedName>
    <definedName name="step_08_rope_base">500000</definedName>
    <definedName name="step_08_rotation_0_0">'Pipeline'!$E$148:$F$149</definedName>
    <definedName name="step_08_rotation_0_1">'Pipeline'!$E$152:$F$153</definedName>
    <definedName name="step_08_rotation_1_0">'Pipeline'!$H$148:$I$149</definedName>
    <definedName name="step_08_rotation_1_1">'Pipeline'!$H$152:$I$153</definedName>
    <definedName name="step_08_rotation_2_0">'Pipeline'!$K$148:$L$149</definedName>
    <definedName name="step_08_rotation_2_1">'Pipeline'!$K$152:$L$153</definedName>
    <definedName name="step_08_rotation_3_0">'Pipeline'!$N$148:$O$149</definedName>
    <definedName name="step_08_rotation_3_1">'Pipeline'!$N$152:$O$153</definedName>
    <definedName name="step_08_rotation_4_0">'Pipeline'!$Q$148:$R$149</definedName>
    <definedName name="step_08_rotation_4_1">'Pipeline'!$Q$152:$R$153</definedName>
    <definedName name="step_09_key_k1">'Pipeline'!$U$85:$Y$88</definedName>
    <definedName name="step_09_key_k2">'Pipeline'!$U$89:$Y$92</definedName>
    <definedName name="step_09_key_transpose_k1">'Pipeline'!$O$187:$R$191</definedName>
    <definedName name="step_09_key_transpose_k2">'Pipeline'!$O$192:$R$196</definedName>
    <definedName name="step_09_output">'Pipeline'!$U$187:$Y$206</definedName>
    <definedName name="step_09_output_q1">'Pipeline'!$U$187:$Y$191</definedName>
    <definedName name="step_09_output_q2">'Pipeline'!$U$192:$Y$196</definedName>
    <definedName name="step_09_output_q3">'Pipeline'!$U$197:$Y$201</definedName>
    <definedName name="step_09_output_q4">'Pipeline'!$U$202:$Y$206</definedName>
    <definedName name="step_09_query_q1">'Pipeline'!$U$167:$Y$170</definedName>
    <definedName name="step_09_query_q2">'Pipeline'!$U$171:$Y$174</definedName>
    <definedName name="step_09_query_q3">'Pipeline'!$U$175:$Y$178</definedName>
    <definedName name="step_09_query_q4">'Pipeline'!$U$179:$Y$182</definedName>
    <definedName name="step_10_input">'Pipeline'!$U$187:$Y$206</definedName>
    <definedName name="step_10_masked">'Pipeline'!$U$211:$Y$230</definedName>
    <definedName name="step_10_masked_q1">'Pipeline'!$U$211:$Y$215</definedName>
    <definedName name="step_10_masked_q2">'Pipeline'!$U$216:$Y$220</definedName>
    <definedName name="step_10_masked_q3">'Pipeline'!$U$221:$Y$225</definedName>
    <definedName name="step_10_masked_q4">'Pipeline'!$U$226:$Y$230</definedName>
    <definedName name="step_10_output">'Pipeline'!$U$241:$Y$260</definedName>
    <definedName name="step_10_output_q1">'Pipeline'!$U$241:$Y$245</definedName>
    <definedName name="step_10_output_q2">'Pipeline'!$U$246:$Y$250</definedName>
    <definedName name="step_10_output_q3">'Pipeline'!$U$251:$Y$255</definedName>
    <definedName name="step_10_output_q4">'Pipeline'!$U$256:$Y$260</definedName>
    <definedName name="step_10_partition">'Pipeline'!$U$234:$Y$237</definedName>
    <definedName name="step_10_partition_q1">'Pipeline'!$U$234:$Y$234</definedName>
    <definedName name="step_10_partition_q2">'Pipeline'!$U$235:$Y$235</definedName>
    <definedName name="step_10_partition_q3">'Pipeline'!$U$236:$Y$236</definedName>
    <definedName name="step_10_partition_q4">'Pipeline'!$U$237:$Y$237</definedName>
    <definedName name="step_10_proxy_head_dim">4</definedName>
    <definedName name="step_10_proxy_seq">5</definedName>
    <definedName name="step_11_attention_q1">'Pipeline'!$U$241:$Y$245</definedName>
    <definedName name="step_11_attention_q2">'Pipeline'!$U$246:$Y$250</definedName>
    <definedName name="step_11_attention_q3">'Pipeline'!$U$251:$Y$255</definedName>
    <definedName name="step_11_attention_q4">'Pipeline'!$U$256:$Y$260</definedName>
    <definedName name="step_11_output">'Pipeline'!$U$265:$Y$280</definedName>
    <definedName name="step_11_output_q1">'Pipeline'!$U$265:$Y$268</definedName>
    <definedName name="step_11_output_q2">'Pipeline'!$U$269:$Y$272</definedName>
    <definedName name="step_11_output_q3">'Pipeline'!$U$273:$Y$276</definedName>
    <definedName name="step_11_output_q4">'Pipeline'!$U$277:$Y$280</definedName>
    <definedName name="step_11_value">'Pipeline'!$N$265:$R$272</definedName>
    <definedName name="step_11_value_v1">'Pipeline'!$N$265:$R$268</definedName>
    <definedName name="step_11_value_v1">'Pipeline'!$N$265:$R$268</definedName>
    <definedName name="step_11_value_v2">'Pipeline'!$N$269:$R$272</definedName>
    <definedName name="step_11_value_v2">'Pipeline'!$N$269:$R$272</definedName>
    <definedName name="step_12_input">'Pipeline'!$U$265:$Y$280</definedName>
    <definedName name="step_12_output">'Pipeline'!$U$285:$Y$300</definedName>
    <definedName name="step_13_input">step_12_output</definedName>
    <definedName name="step_13_output">'Pipeline'!$U$305:$Y$308</definedName>
    <definedName name="step_13_weight">'Pipeline'!$C$305:$R$308</definedName>
    <definedName name="step_14_branch">step_13_output</definedName>
    <definedName name="step_14_output">'Pipeline'!$U$313:$Y$316</definedName>
    <definedName name="step_14_residual">'Pipeline'!$N$313:$R$316</definedName>
    <definedName name="step_15_input">step_14_output</definedName>
    <definedName name="step_15_normalized">'Pipeline'!$U$325:$Y$328</definedName>
    <definedName name="step_15_output">'Pipeline'!$U$332:$Y$335</definedName>
    <definedName name="step_15_rms">'Pipeline'!$U$321:$Y$321</definedName>
    <definedName name="step_15_scale">'Pipeline'!$R$332:$R$335</definedName>
    <definedName name="step_16_input">step_15_output</definedName>
    <definedName name="step_16_output">'Pipeline'!$U$340:$Y$345</definedName>
    <definedName name="step_16_weight">'Pipeline'!$O$340:$R$345</definedName>
    <definedName name="step_17_input">step_15_output</definedName>
    <definedName name="step_17_output">'Pipeline'!$U$350:$Y$355</definedName>
    <definedName name="step_17_weight">'Pipeline'!$O$350:$R$355</definedName>
    <definedName name="step_18_activated">'Pipeline'!$U$360:$Y$365</definedName>
    <definedName name="step_18_gate">'Pipeline'!$N$360:$R$365</definedName>
    <definedName name="step_18_output">'Pipeline'!$U$368:$Y$373</definedName>
    <definedName name="step_18_up">step_17_output</definedName>
    <definedName name="step_19_input">step_18_output</definedName>
    <definedName name="step_19_output">'Pipeline'!$U$378:$Y$381</definedName>
    <definedName name="step_19_weight">'Pipeline'!$M$378:$R$381</definedName>
    <definedName name="step_20_branch">step_19_output</definedName>
    <definedName name="step_20_output">'Pipeline'!$U$386:$Y$389</definedName>
    <definedName name="step_20_residual">'Pipeline'!$N$386:$R$389</definedName>
    <definedName name="step_21_input">step_20_output</definedName>
    <definedName name="step_21_normalized">'Pipeline'!$U$398:$Y$401</definedName>
    <definedName name="step_21_output">'Pipeline'!$U$405:$Y$408</definedName>
    <definedName name="step_21_rms">'Pipeline'!$U$394:$Y$394</definedName>
    <definedName name="step_21_scale">'Pipeline'!$R$405:$R$408</definedName>
    <definedName name="step_22_input">step_21_output</definedName>
    <definedName name="step_22_output">'Pipeline'!$U$413:$Y$420</definedName>
    <definedName name="step_22_weight">'Pipeline'!$O$413:$R$420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<sst xmlns="http://schemas.openxmlformats.org/spreadsheetml/2006/main" count="325" uniqueCount="181">
  <si>
    <t>Ollama: llama3.2</t>
  </si>
  <si>
    <t>EMBEDDING • Token embedding</t>
  </si>
  <si>
    <t>Actual tensors: E[3072×128256] × T[128256×seq] → X[3072×seq]</t>
  </si>
  <si>
    <t>Excel proxy: E[4×8] × T[8×seq] → X[4×seq]</t>
  </si>
  <si>
    <t>↑</t>
  </si>
  <si>
    <t>Actual: 3072</t>
  </si>
  <si>
    <t>↓</t>
  </si>
  <si>
    <t>BLOCK INPUT • Block recurrence</t>
  </si>
  <si>
    <t>Actual tensors: Xᵦ[3072×seq] = X[3072×seq] when b=0; otherwise output of block b−1</t>
  </si>
  <si>
    <t>Excel proxy: Xᵦ[4×seq] = X[4×seq] when b=0; otherwise output of block b−1</t>
  </si>
  <si>
    <t>ATTENTION • RMSNorm</t>
  </si>
  <si>
    <t>Actual tensors: Xᵦ[3072×seq] · γ[3072×1] → Xᵦ′[3072×seq]</t>
  </si>
  <si>
    <t>Excel proxy: Xᵦ[4×seq] · γ[4×1] → Xᵦ′[4×seq]</t>
  </si>
  <si>
    <t>ATTENTION • K projection</t>
  </si>
  <si>
    <t>Actual tensors: Wk[8 KV×128×3072] × Xᵦ′[3072×seq] → K[8 KV×128×seq]</t>
  </si>
  <si>
    <t>Excel proxy: Wk[2 KV×4×4] × Xᵦ′[4×seq] → K[2 KV×4×seq]</t>
  </si>
  <si>
    <t>Actual: 1024</t>
  </si>
  <si>
    <t>ATTENTION • K rotary position encoding</t>
  </si>
  <si>
    <t>Actual tensors: K′[8 KV×128×seq] → Kᵣ[8 KV×128×seq]</t>
  </si>
  <si>
    <t>Excel proxy: K′[2 KV×4×seq] → Kᵣ[2 KV×4×seq]</t>
  </si>
  <si>
    <t>ATTENTION • V projection</t>
  </si>
  <si>
    <t>Actual tensors: Wv[8 KV×128×3072] × Xᵦ′[3072×seq] → V[8 KV×128×seq]</t>
  </si>
  <si>
    <t>Excel proxy: Wv[2 KV×4×4] × Xᵦ′[4×seq] → V[2 KV×4×seq]</t>
  </si>
  <si>
    <t>ATTENTION • Q projection</t>
  </si>
  <si>
    <t>Actual tensors: Wq[24 Q×128×3072] × Xᵦ′[3072×seq] → Q[24 Q×128×seq]</t>
  </si>
  <si>
    <t>Excel proxy: Wq[4 Q×4×4] × Xᵦ′[4×seq] → Q[4 Q×4×seq]</t>
  </si>
  <si>
    <t>Actual grouping: 3 Q heads per KV head</t>
  </si>
  <si>
    <t>Excel proxy grouping: K1,V1 → Q1–Q2 · K2,V2 → Q3–Q4</t>
  </si>
  <si>
    <t>ATTENTION • Q rotary position encoding</t>
  </si>
  <si>
    <t>Actual tensors: Q[24 Q×128×seq] → Qᵣ[24 Q×128×seq]</t>
  </si>
  <si>
    <t>Excel proxy: Q[4 Q×4×seq] → Qᵣ[4 Q×4×seq]</t>
  </si>
  <si>
    <t>ATTENTION • Attention scores</t>
  </si>
  <si>
    <t>Actual tensors: Kᵣᵀ[8 KV×seq×128] × Qᵣ[24 Q×128×seq] → S[24 Q×seq×seq]</t>
  </si>
  <si>
    <t>Excel proxy: Kᵣᵀ[2 KV×seq×4] × Qᵣ[4 Q×4×seq] → S[4 Q×seq×seq]</t>
  </si>
  <si>
    <t>Actual: 24 Q × seq</t>
  </si>
  <si>
    <t>ATTENTION • Causal softmax</t>
  </si>
  <si>
    <t>Actual tensors: S[24 Q×seq×seq] → A[24 Q×seq×seq]</t>
  </si>
  <si>
    <t>Excel proxy: S[4 Q×seq×seq] → A[4 Q×seq×seq]</t>
  </si>
  <si>
    <t>ATTENTION • Weighted value aggregation</t>
  </si>
  <si>
    <t>Actual tensors: V[8 KV×128×seq] × A[24 Q×seq×seq] → H[24 Q×128×seq]</t>
  </si>
  <si>
    <t>Excel proxy: V[2 KV×4×seq] × A[4 Q×seq×seq] → H[4 Q×4×seq]</t>
  </si>
  <si>
    <t>Actual: 24 Q × 128</t>
  </si>
  <si>
    <t>ATTENTION • Head concatenation</t>
  </si>
  <si>
    <t>Actual tensors: H[24 Q×128×seq] → Hmerge[3072×seq]</t>
  </si>
  <si>
    <t>Excel proxy: H[4 Q×4×seq] → Hmerge[16×seq]</t>
  </si>
  <si>
    <t>ATTENTION • Attention output projection</t>
  </si>
  <si>
    <t>Actual tensors: Wₒ[3072×3072] × Hmerge[3072×seq] → Y[3072×seq]</t>
  </si>
  <si>
    <t>Excel proxy: Wₒ[4×16] × Hmerge[16×seq] → Y[4×seq]</t>
  </si>
  <si>
    <t>ATTENTION • Attention residual</t>
  </si>
  <si>
    <t>Actual tensors: Xᵦ[3072×seq] + Y[3072×seq] → R[3072×seq]</t>
  </si>
  <si>
    <t>Excel proxy: Xᵦ[4×seq] + Y[4×seq] → R[4×seq]</t>
  </si>
  <si>
    <t>MLP • RMSNorm</t>
  </si>
  <si>
    <t>Actual tensors: R[3072×seq] · γ′[3072×1] → R′[3072×seq]</t>
  </si>
  <si>
    <t>Excel proxy: R[4×seq] · γ′[4×1] → R′[4×seq]</t>
  </si>
  <si>
    <t>MLP • Gate projection</t>
  </si>
  <si>
    <t>Actual tensors: Wg[8192×3072] × R′[3072×seq] → G[8192×seq]</t>
  </si>
  <si>
    <t>Excel proxy: Wg[6×4] × R′[4×seq] → G[6×seq]</t>
  </si>
  <si>
    <t>Actual: 8192</t>
  </si>
  <si>
    <t>MLP • Up projection</t>
  </si>
  <si>
    <t>Actual tensors: Wu[8192×3072] × R′[3072×seq] → U[8192×seq]</t>
  </si>
  <si>
    <t>Excel proxy: Wu[6×4] × R′[4×seq] → U[6×seq]</t>
  </si>
  <si>
    <t>MLP • Gated activation</t>
  </si>
  <si>
    <t>Actual tensors: SiLU(G[8192×seq]) · U[8192×seq] → P[8192×seq]</t>
  </si>
  <si>
    <t>Excel proxy: SiLU(G[6×seq]) · U[6×seq] → P[6×seq]</t>
  </si>
  <si>
    <t>MLP • Down projection</t>
  </si>
  <si>
    <t>Actual tensors: Wd[3072×8192] × P[8192×seq] → M[3072×seq]</t>
  </si>
  <si>
    <t>Excel proxy: Wd[4×6] × P[6×seq] → M[4×seq]</t>
  </si>
  <si>
    <t>MLP • MLP residual</t>
  </si>
  <si>
    <t>Actual tensors: R[3072×seq] + M[3072×seq] → Xᵦ₊₁[3072×seq]</t>
  </si>
  <si>
    <t>Excel proxy: R[4×seq] + M[4×seq] → Xᵦ₊₁[4×seq]</t>
  </si>
  <si>
    <t>FINAL • RMSNorm</t>
  </si>
  <si>
    <t>Actual tensors: Xᵦ₊₁[3072×seq] · γf[3072×1] → Z[3072×seq]</t>
  </si>
  <si>
    <t>Excel proxy: Xᵦ₊₁[4×seq] · γf[4×1] → Z[4×seq]</t>
  </si>
  <si>
    <t>FINAL • Language-model head</t>
  </si>
  <si>
    <t>Actual tensors: Eᵀ[128256×3072] × Z[3072×seq] → Logits[128256×seq]</t>
  </si>
  <si>
    <t>Excel proxy: Eᵀ[8×4] × Z[4×seq] → Logits[8×seq]</t>
  </si>
  <si>
    <t>Actual: 128256</t>
  </si>
  <si>
    <t>T = Rand</t>
  </si>
  <si>
    <t>E = Rand</t>
  </si>
  <si>
    <t>X = E × T</t>
  </si>
  <si>
    <t>→</t>
  </si>
  <si>
    <t>Xᵦ = X when b=0; otherwise output of block b−1</t>
  </si>
  <si>
    <t>rms = √(mean(Xᵦ²) + ε)</t>
  </si>
  <si>
    <t>γ = Rand</t>
  </si>
  <si>
    <t>Xᵦ′ = X̂ᵦ × γ</t>
  </si>
  <si>
    <t>X̂ᵦ = Xᵦ / rms</t>
  </si>
  <si>
    <t>Wk = Rand</t>
  </si>
  <si>
    <t>K = Wk × Xᵦ′</t>
  </si>
  <si>
    <t>K1</t>
  </si>
  <si>
    <t>K2</t>
  </si>
  <si>
    <t>θᵢ = base^(-2 × i / dim)</t>
  </si>
  <si>
    <t>R(0, θ₀)</t>
  </si>
  <si>
    <t>R(0, θ₁)</t>
  </si>
  <si>
    <t>R(1, θ₀)</t>
  </si>
  <si>
    <t>R(1, θ₁)</t>
  </si>
  <si>
    <t>R(2, θ₀)</t>
  </si>
  <si>
    <t>R(2, θ₁)</t>
  </si>
  <si>
    <t>R(3, θ₀)</t>
  </si>
  <si>
    <t>R(3, θ₁)</t>
  </si>
  <si>
    <t>R(4, θ₀)</t>
  </si>
  <si>
    <t>R(4, θ₁)</t>
  </si>
  <si>
    <t>pair(K′): 0,2,4,6,1,3,5,7</t>
  </si>
  <si>
    <t>pair-wise MMULT result</t>
  </si>
  <si>
    <t>Kᵣ = unpair(result): rows 0–7</t>
  </si>
  <si>
    <t>Wv = Rand</t>
  </si>
  <si>
    <t>V = Wv × Xᵦ′</t>
  </si>
  <si>
    <t>V1</t>
  </si>
  <si>
    <t>V2</t>
  </si>
  <si>
    <t>Wq = Rand</t>
  </si>
  <si>
    <t>Q = Wq × Xᵦ′</t>
  </si>
  <si>
    <t>Q1 (K1,V1)</t>
  </si>
  <si>
    <t>Q2 (K1,V1)</t>
  </si>
  <si>
    <t>Q3 (K2,V2)</t>
  </si>
  <si>
    <t>Q4 (K2,V2)</t>
  </si>
  <si>
    <t>pair(Q): 0,2,4,6,8,10,12,14,1,3,5,7,9,11,13,15</t>
  </si>
  <si>
    <t>Qᵣ = unpair(result): rows 0–15</t>
  </si>
  <si>
    <t>Kᵣᵀ by KV group</t>
  </si>
  <si>
    <t>S = Kᵣᵀ × Qᵣ</t>
  </si>
  <si>
    <t>K1ᵀ</t>
  </si>
  <si>
    <t>K2ᵀ</t>
  </si>
  <si>
    <t>Q1 (K1)</t>
  </si>
  <si>
    <t>Q2 (K1)</t>
  </si>
  <si>
    <t>Q3 (K2)</t>
  </si>
  <si>
    <t>Q4 (K2)</t>
  </si>
  <si>
    <t>L = causal_mask(S / √d)</t>
  </si>
  <si>
    <t>p = column-wise Σ exp(L)</t>
  </si>
  <si>
    <t>A = exp(L) / p</t>
  </si>
  <si>
    <t>Q1</t>
  </si>
  <si>
    <t>Q2</t>
  </si>
  <si>
    <t>Q3</t>
  </si>
  <si>
    <t>Q4</t>
  </si>
  <si>
    <t>V by KV group</t>
  </si>
  <si>
    <t>H = V × A</t>
  </si>
  <si>
    <t>Hmerge = CONCAT(Q heads)</t>
  </si>
  <si>
    <t>Wₒ = Rand</t>
  </si>
  <si>
    <t>Y = Wₒ × Hmerge</t>
  </si>
  <si>
    <t>Xᵦ = residual stream</t>
  </si>
  <si>
    <t>R = Xᵦ + Y</t>
  </si>
  <si>
    <t>rms = √(mean(R²) + ε)</t>
  </si>
  <si>
    <t>R̂ = R / rms</t>
  </si>
  <si>
    <t>γ′ = Rand</t>
  </si>
  <si>
    <t>R′ = R̂ × γ′</t>
  </si>
  <si>
    <t>Wg = Rand</t>
  </si>
  <si>
    <t>G = Wg × R′</t>
  </si>
  <si>
    <t>Wu = Rand</t>
  </si>
  <si>
    <t>U = Wu × R′</t>
  </si>
  <si>
    <t>G = gate branch</t>
  </si>
  <si>
    <t>SiLU(G) = G / (1 + EXP(-G))</t>
  </si>
  <si>
    <t>P = SiLU(G) × U</t>
  </si>
  <si>
    <t>Wd = Rand</t>
  </si>
  <si>
    <t>M = Wd × P</t>
  </si>
  <si>
    <t>R = residual stream</t>
  </si>
  <si>
    <t>Xᵦ₊₁ = R + M</t>
  </si>
  <si>
    <t>rms = √(mean(Xᵦ₊₁²) + ε)</t>
  </si>
  <si>
    <t>X̂ᵦ₊₁ = Xᵦ₊₁ / rms</t>
  </si>
  <si>
    <t>γf = Rand</t>
  </si>
  <si>
    <t>Z = X̂ᵦ₊₁ × γf</t>
  </si>
  <si>
    <t>Eᵀ = TRANSPOSE(E)</t>
  </si>
  <si>
    <t>Logits = Eᵀ × Z</t>
  </si>
  <si>
    <t>[01/22]</t>
  </si>
  <si>
    <t>[02/22]</t>
  </si>
  <si>
    <t>[03/22]</t>
  </si>
  <si>
    <t>[04/22]</t>
  </si>
  <si>
    <t>[05/22]</t>
  </si>
  <si>
    <t>[06/22]</t>
  </si>
  <si>
    <t>[07/22]</t>
  </si>
  <si>
    <t>[08/22]</t>
  </si>
  <si>
    <t>[09/22]</t>
  </si>
  <si>
    <t>[10/22]</t>
  </si>
  <si>
    <t>[11/22]</t>
  </si>
  <si>
    <t>[12/22]</t>
  </si>
  <si>
    <t>[13/22]</t>
  </si>
  <si>
    <t>[14/22]</t>
  </si>
  <si>
    <t>[15/22]</t>
  </si>
  <si>
    <t>[16/22]</t>
  </si>
  <si>
    <t>[17/22]</t>
  </si>
  <si>
    <t>[18/22]</t>
  </si>
  <si>
    <t>[19/22]</t>
  </si>
  <si>
    <t>[20/22]</t>
  </si>
  <si>
    <t>[21/22]</t>
  </si>
  <si>
    <t>[22/22]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</si>
</sst>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Calibri"/>
      <family val="2"/>
      <scheme val="minor"/>
    </font>
    <font>
      <sz val="14"/>
      <color rgb="FFFFFFFF"/>
      <name val="Ink Free"/>
      <family val="2"/>
    </font>
    <font>
      <sz val="14"/>
      <color rgb="FFBE6EC3"/>
      <name val="Ink Free"/>
      <family val="2"/>
    </font>
    <font>
      <sz val="11"/>
      <color rgb="FF111111"/>
      <name val="Ink Free"/>
      <family val="2"/>
    </font>
    <font>
      <sz val="16"/>
      <color rgb="FF111111"/>
      <name val="Ink Free"/>
      <family val="2"/>
    </font>
    <font>
      <sz val="10"/>
      <color rgb="FF111111"/>
      <name val="Ink Free"/>
      <family val="2"/>
    </font>
    <font>
      <b/>
      <sz val="18"/>
      <color rgb="FF70B276"/>
      <name val="Ink Free"/>
      <family val="2"/>
    </font>
    <font>
      <sz val="10"/>
      <color rgb="FF8DB446"/>
      <name val="Ink Free"/>
      <family val="2"/>
    </font>
    <font>
      <sz val="10"/>
      <color rgb="FF555555"/>
      <name val="Ink Free"/>
      <family val="2"/>
    </font>
    <font>
      <b/>
      <sz val="18"/>
      <color rgb="FFDAA852"/>
      <name val="Ink Free"/>
      <family val="2"/>
    </font>
    <font>
      <b/>
      <sz val="18"/>
      <color rgb="FF5C96CD"/>
      <name val="Ink Free"/>
      <family val="2"/>
    </font>
    <font>
      <sz val="9"/>
      <color rgb="FFBE6EC3"/>
      <name val="Ink Free"/>
      <family val="2"/>
    </font>
    <font>
      <sz val="14"/>
      <color rgb="FF111111"/>
      <name val="Ink Free"/>
      <family val="2"/>
    </font>
  </fonts>
  <fills count="3">
    <fill>
      <patternFill patternType="none"/>
    </fill>
    <fill>
      <patternFill patternType="gray125"/>
    </fill>
    <fill>
      <patternFill patternType="solid">
        <fgColor rgb="FFD0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BE6EC3"/>
      </bottom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/>
      <diagonal/>
    </border>
    <border>
      <left/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/>
      <top/>
      <bottom/>
      <diagonal/>
    </border>
    <border>
      <left/>
      <right style="thin">
        <color rgb="FF111111"/>
      </right>
      <top/>
      <bottom/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/>
      <top/>
      <bottom style="thin">
        <color rgb="FF111111"/>
      </bottom>
      <diagonal/>
    </border>
    <border>
      <left/>
      <right style="thin">
        <color rgb="FF111111"/>
      </right>
      <top/>
      <bottom style="thin">
        <color rgb="FF111111"/>
      </bottom>
      <diagonal/>
    </border>
    <border>
      <left style="thin">
        <color rgb="FF111111"/>
      </left>
      <right/>
      <top/>
      <bottom style="double">
        <color rgb="FF111111"/>
      </bottom>
      <diagonal/>
    </border>
    <border>
      <left/>
      <right/>
      <top/>
      <bottom style="double">
        <color rgb="FF111111"/>
      </bottom>
      <diagonal/>
    </border>
    <border>
      <left/>
      <right style="thin">
        <color rgb="FF111111"/>
      </right>
      <top/>
      <bottom style="double">
        <color rgb="FF11111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textRotation="90" shrinkToFi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11" fillId="0" borderId="0" xfId="0" applyFont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14">
    <dxf>
      <border>
        <left style="thin">
          <color rgb="FF111111"/>
        </left>
        <right/>
        <top style="thin">
          <color rgb="FF111111"/>
        </top>
        <bottom/>
        <vertical/>
        <horizontal/>
      </border>
    </dxf>
    <dxf>
      <border>
        <left/>
        <right/>
        <top style="thin">
          <color rgb="FF111111"/>
        </top>
        <bottom/>
        <vertical/>
        <horizontal/>
      </border>
    </dxf>
    <dxf>
      <border>
        <left/>
        <right style="thin">
          <color rgb="FF111111"/>
        </right>
        <top style="thin">
          <color rgb="FF111111"/>
        </top>
        <bottom/>
        <vertical/>
        <horizontal/>
      </border>
    </dxf>
    <dxf>
      <border>
        <left style="thin">
          <color rgb="FF111111"/>
        </left>
        <right/>
        <top/>
        <bottom/>
        <vertical/>
        <horizontal/>
      </border>
    </dxf>
    <dxf>
      <border>
        <left/>
        <right style="thin">
          <color rgb="FF111111"/>
        </right>
        <top/>
        <bottom/>
        <vertical/>
        <horizontal/>
      </border>
    </dxf>
    <dxf>
      <border>
        <left style="thin">
          <color rgb="FF111111"/>
        </left>
        <right/>
        <top/>
        <bottom style="thin">
          <color rgb="FF111111"/>
        </bottom>
        <vertical/>
        <horizontal/>
      </border>
    </dxf>
    <dxf>
      <border>
        <left/>
        <right/>
        <top/>
        <bottom style="thin">
          <color rgb="FF111111"/>
        </bottom>
        <vertical/>
        <horizontal/>
      </border>
    </dxf>
    <dxf>
      <border>
        <left/>
        <right style="thin">
          <color rgb="FF111111"/>
        </right>
        <top/>
        <bottom style="thin">
          <color rgb="FF111111"/>
        </bottom>
        <vertical/>
        <horizontal/>
      </border>
    </dxf>
    <dxf>
      <border>
        <left style="thin">
          <color rgb="FF111111"/>
        </left>
        <right/>
        <top style="thin">
          <color rgb="FF111111"/>
        </top>
        <bottom style="thin">
          <color rgb="FF111111"/>
        </bottom>
        <vertical/>
        <horizontal/>
      </border>
    </dxf>
    <dxf>
      <border>
        <left/>
        <right/>
        <top style="thin">
          <color rgb="FF111111"/>
        </top>
        <bottom style="thin">
          <color rgb="FF111111"/>
        </bottom>
        <vertical/>
        <horizontal/>
      </border>
    </dxf>
    <dxf>
      <border>
        <left/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border>
        <left style="thin">
          <color rgb="FF111111"/>
        </left>
        <right style="thin">
          <color rgb="FF111111"/>
        </right>
        <top style="thin">
          <color rgb="FF111111"/>
        </top>
        <bottom/>
        <vertical/>
        <horizontal/>
      </border>
    </dxf>
    <dxf>
      <border>
        <left style="thin">
          <color rgb="FF111111"/>
        </left>
        <right style="thin">
          <color rgb="FF111111"/>
        </right>
        <top/>
        <bottom/>
        <vertical/>
        <horizontal/>
      </border>
    </dxf>
    <dxf>
      <border>
        <left style="thin">
          <color rgb="FF111111"/>
        </left>
        <right style="thin">
          <color rgb="FF111111"/>
        </right>
        <top/>
        <bottom style="thin">
          <color rgb="FF11111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133350</xdr:colOff>
      <xdr:row>25</xdr:row>
      <xdr:rowOff>0</xdr:rowOff>
    </xdr:from>
    <xdr:to>
      <xdr:col>36</xdr:col>
      <xdr:colOff>38100</xdr:colOff>
      <xdr:row>314</xdr:row>
      <xdr:rowOff>0</xdr:rowOff>
    </xdr:to>
    <xdr:sp macro="" textlink="">
      <xdr:nvSpPr>
        <xdr:cNvPr id="2" name="TextBox 1" descr="byhand-residual-connector-attention"/>
        <xdr:cNvSpPr txBox="1"/>
      </xdr:nvSpPr>
      <xdr:spPr>
        <a:xfrm>
          <a:off x="9296400" y="8810625"/>
          <a:ext cx="3429000" cy="101850825"/>
        </a:xfrm>
        <a:custGeom>
          <a:avLst/>
          <a:gdLst/>
          <a:ahLst/>
          <a:cxnLst/>
          <a:rect l="0" t="0" r="r" b="b"/>
          <a:pathLst>
            <a:path w="21600" h="21600" fill="none" stroke="1">
              <a:moveTo>
                <a:pt x="0" y="0"/>
              </a:moveTo>
              <a:cubicBezTo>
                <a:pt x="21600" y="3240"/>
                <a:pt x="21600" y="18360"/>
                <a:pt x="0" y="21600"/>
              </a:cubicBezTo>
            </a:path>
          </a:pathLst>
        </a:custGeom>
        <a:noFill/>
        <a:ln w="76200" cmpd="sng">
          <a:solidFill>
            <a:srgbClr val="5C96CD">
              <a:alpha val="25000"/>
            </a:srgbClr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26</xdr:col>
      <xdr:colOff>133350</xdr:colOff>
      <xdr:row>314</xdr:row>
      <xdr:rowOff>0</xdr:rowOff>
    </xdr:from>
    <xdr:to>
      <xdr:col>36</xdr:col>
      <xdr:colOff>38100</xdr:colOff>
      <xdr:row>387</xdr:row>
      <xdr:rowOff>0</xdr:rowOff>
    </xdr:to>
    <xdr:sp macro="" textlink="">
      <xdr:nvSpPr>
        <xdr:cNvPr id="3" name="TextBox 2" descr="byhand-residual-connector-mlp"/>
        <xdr:cNvSpPr txBox="1"/>
      </xdr:nvSpPr>
      <xdr:spPr>
        <a:xfrm>
          <a:off x="9296400" y="110661450"/>
          <a:ext cx="3429000" cy="25727025"/>
        </a:xfrm>
        <a:custGeom>
          <a:avLst/>
          <a:gdLst/>
          <a:ahLst/>
          <a:cxnLst/>
          <a:rect l="0" t="0" r="r" b="b"/>
          <a:pathLst>
            <a:path w="21600" h="21600" fill="none" stroke="1">
              <a:moveTo>
                <a:pt x="0" y="0"/>
              </a:moveTo>
              <a:cubicBezTo>
                <a:pt x="21600" y="3240"/>
                <a:pt x="21600" y="18360"/>
                <a:pt x="0" y="21600"/>
              </a:cubicBezTo>
            </a:path>
          </a:pathLst>
        </a:custGeom>
        <a:noFill/>
        <a:ln w="76200" cmpd="sng">
          <a:solidFill>
            <a:srgbClr val="5C96CD">
              <a:alpha val="25000"/>
            </a:srgbClr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26</xdr:col>
      <xdr:colOff>66675</xdr:colOff>
      <xdr:row>24</xdr:row>
      <xdr:rowOff>285750</xdr:rowOff>
    </xdr:from>
    <xdr:to>
      <xdr:col>26</xdr:col>
      <xdr:colOff>200025</xdr:colOff>
      <xdr:row>25</xdr:row>
      <xdr:rowOff>66675</xdr:rowOff>
    </xdr:to>
    <xdr:sp macro="" textlink="">
      <xdr:nvSpPr>
        <xdr:cNvPr id="4" name="TextBox 3" descr="byhand-residual-node-step_02_output"/>
        <xdr:cNvSpPr txBox="1"/>
      </xdr:nvSpPr>
      <xdr:spPr>
        <a:xfrm>
          <a:off x="9229725" y="8743950"/>
          <a:ext cx="133350" cy="133350"/>
        </a:xfrm>
        <a:prstGeom prst="ellipse">
          <a:avLst/>
        </a:prstGeom>
        <a:solidFill>
          <a:srgbClr val="5C96CD">
            <a:alpha val="25000"/>
          </a:srgbClr>
        </a:solidFill>
        <a:ln w="25400" cmpd="sng">
          <a:solidFill>
            <a:srgbClr val="5C96CD">
              <a:alpha val="25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26</xdr:col>
      <xdr:colOff>66675</xdr:colOff>
      <xdr:row>313</xdr:row>
      <xdr:rowOff>285750</xdr:rowOff>
    </xdr:from>
    <xdr:to>
      <xdr:col>26</xdr:col>
      <xdr:colOff>200025</xdr:colOff>
      <xdr:row>314</xdr:row>
      <xdr:rowOff>66675</xdr:rowOff>
    </xdr:to>
    <xdr:sp macro="" textlink="">
      <xdr:nvSpPr>
        <xdr:cNvPr id="5" name="TextBox 4" descr="byhand-residual-node-attention_residual_output"/>
        <xdr:cNvSpPr txBox="1"/>
      </xdr:nvSpPr>
      <xdr:spPr>
        <a:xfrm>
          <a:off x="9229725" y="110594775"/>
          <a:ext cx="133350" cy="133350"/>
        </a:xfrm>
        <a:prstGeom prst="ellipse">
          <a:avLst/>
        </a:prstGeom>
        <a:solidFill>
          <a:srgbClr val="5C96CD">
            <a:alpha val="25000"/>
          </a:srgbClr>
        </a:solidFill>
        <a:ln w="25400" cmpd="sng">
          <a:solidFill>
            <a:srgbClr val="5C96CD">
              <a:alpha val="25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26</xdr:col>
      <xdr:colOff>66675</xdr:colOff>
      <xdr:row>386</xdr:row>
      <xdr:rowOff>285750</xdr:rowOff>
    </xdr:from>
    <xdr:to>
      <xdr:col>26</xdr:col>
      <xdr:colOff>200025</xdr:colOff>
      <xdr:row>387</xdr:row>
      <xdr:rowOff>66675</xdr:rowOff>
    </xdr:to>
    <xdr:sp macro="" textlink="">
      <xdr:nvSpPr>
        <xdr:cNvPr id="6" name="TextBox 5" descr="byhand-residual-node-mlp_residual_output"/>
        <xdr:cNvSpPr txBox="1"/>
      </xdr:nvSpPr>
      <xdr:spPr>
        <a:xfrm>
          <a:off x="9229725" y="136321800"/>
          <a:ext cx="133350" cy="133350"/>
        </a:xfrm>
        <a:prstGeom prst="ellipse">
          <a:avLst/>
        </a:prstGeom>
        <a:solidFill>
          <a:srgbClr val="5C96CD">
            <a:alpha val="25000"/>
          </a:srgbClr>
        </a:solidFill>
        <a:ln w="25400" cmpd="sng">
          <a:solidFill>
            <a:srgbClr val="5C96CD">
              <a:alpha val="25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14</xdr:col>
      <xdr:colOff>0</xdr:colOff>
      <xdr:row>416</xdr:row>
      <xdr:rowOff>0</xdr:rowOff>
    </xdr:to>
    <xdr:sp macro="" textlink="">
      <xdr:nvSpPr>
        <xdr:cNvPr id="7" name="TextBox 6" descr="byhand-weight-reuse-connector-embedding-x2218-19498"/>
        <xdr:cNvSpPr txBox="1"/>
      </xdr:nvSpPr>
      <xdr:spPr>
        <a:xfrm>
          <a:off x="3171825" y="5991225"/>
          <a:ext cx="1762125" cy="140617575"/>
        </a:xfrm>
        <a:custGeom>
          <a:avLst/>
          <a:gdLst/>
          <a:ahLst/>
          <a:cxnLst/>
          <a:rect l="0" t="0" r="r" b="b"/>
          <a:pathLst>
            <a:path w="21600" h="21600" fill="none" stroke="1">
              <a:moveTo>
                <a:pt x="2218" y="0"/>
              </a:moveTo>
              <a:cubicBezTo>
                <a:pt x="0" y="3240"/>
                <a:pt x="0" y="18360"/>
                <a:pt x="19498" y="21600"/>
              </a:cubicBezTo>
            </a:path>
          </a:pathLst>
        </a:custGeom>
        <a:noFill/>
        <a:ln w="76200" cmpd="sng">
          <a:solidFill>
            <a:srgbClr val="DAA852">
              <a:alpha val="25000"/>
            </a:srgbClr>
          </a:solidFill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142875</xdr:colOff>
      <xdr:row>16</xdr:row>
      <xdr:rowOff>285750</xdr:rowOff>
    </xdr:from>
    <xdr:to>
      <xdr:col>9</xdr:col>
      <xdr:colOff>276225</xdr:colOff>
      <xdr:row>17</xdr:row>
      <xdr:rowOff>66675</xdr:rowOff>
    </xdr:to>
    <xdr:sp macro="" textlink="">
      <xdr:nvSpPr>
        <xdr:cNvPr id="8" name="TextBox 7" descr="byhand-weight-reuse-node-step_01_left"/>
        <xdr:cNvSpPr txBox="1"/>
      </xdr:nvSpPr>
      <xdr:spPr>
        <a:xfrm>
          <a:off x="3314700" y="5924550"/>
          <a:ext cx="133350" cy="133350"/>
        </a:xfrm>
        <a:prstGeom prst="ellipse">
          <a:avLst/>
        </a:prstGeom>
        <a:solidFill>
          <a:srgbClr val="DAA852">
            <a:alpha val="25000"/>
          </a:srgbClr>
        </a:solidFill>
        <a:ln w="25400" cmpd="sng">
          <a:solidFill>
            <a:srgbClr val="DAA852">
              <a:alpha val="25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13</xdr:col>
      <xdr:colOff>142875</xdr:colOff>
      <xdr:row>415</xdr:row>
      <xdr:rowOff>285750</xdr:rowOff>
    </xdr:from>
    <xdr:to>
      <xdr:col>13</xdr:col>
      <xdr:colOff>276225</xdr:colOff>
      <xdr:row>416</xdr:row>
      <xdr:rowOff>66675</xdr:rowOff>
    </xdr:to>
    <xdr:sp macro="" textlink="">
      <xdr:nvSpPr>
        <xdr:cNvPr id="9" name="TextBox 8" descr="byhand-weight-reuse-node-lm_weight"/>
        <xdr:cNvSpPr txBox="1"/>
      </xdr:nvSpPr>
      <xdr:spPr>
        <a:xfrm>
          <a:off x="4724400" y="146542125"/>
          <a:ext cx="133350" cy="133350"/>
        </a:xfrm>
        <a:prstGeom prst="ellipse">
          <a:avLst/>
        </a:prstGeom>
        <a:solidFill>
          <a:srgbClr val="DAA852">
            <a:alpha val="25000"/>
          </a:srgbClr>
        </a:solidFill>
        <a:ln w="25400" cmpd="sng">
          <a:solidFill>
            <a:srgbClr val="DAA852">
              <a:alpha val="25000"/>
            </a:srgb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420"/>
  <sheetViews>
    <sheetView showGridLines="0"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8" customHeight="1"/>
  <cols>
    <col min="1" max="43" width="5.28515625" customWidth="1"/>
  </cols>
  <sheetData>
    <row r="1" spans="1:43" ht="28" customHeigh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28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28" customHeight="1">
      <c r="A3" s="3" t="s">
        <v>159</v>
      </c>
      <c r="U3" s="4" t="s">
        <v>77</v>
      </c>
      <c r="V3" s="4"/>
      <c r="W3" s="4"/>
      <c r="X3" s="4"/>
      <c r="Y3" s="4"/>
    </row>
    <row r="4" spans="1:43" ht="28" customHeight="1">
      <c r="A4" s="3"/>
      <c r="U4" s="5">
        <v>0</v>
      </c>
      <c r="V4" s="5">
        <v>1</v>
      </c>
      <c r="W4" s="5">
        <v>2</v>
      </c>
      <c r="X4" s="5">
        <v>3</v>
      </c>
      <c r="Y4" s="5">
        <v>4</v>
      </c>
    </row>
    <row r="5" spans="1:43" ht="28" customHeight="1">
      <c r="A5" s="3"/>
      <c r="T5" s="6">
        <v>0</v>
      </c>
      <c r="U5" s="7">
        <v>0.07245600000000001</v>
      </c>
      <c r="V5" s="7">
        <v>0.946232</v>
      </c>
      <c r="W5" s="7">
        <v>-0.242931</v>
      </c>
      <c r="X5" s="7">
        <v>0.104081</v>
      </c>
      <c r="Y5" s="7">
        <v>0.658809</v>
      </c>
    </row>
    <row r="6" spans="1:43" ht="28" customHeight="1">
      <c r="A6" s="3"/>
      <c r="T6" s="6">
        <v>1</v>
      </c>
      <c r="U6" s="7">
        <v>0.23704</v>
      </c>
      <c r="V6" s="7">
        <v>0.723414</v>
      </c>
      <c r="W6" s="7">
        <v>0.154704</v>
      </c>
      <c r="X6" s="7">
        <v>0.409144</v>
      </c>
      <c r="Y6" s="7">
        <v>-0.908351</v>
      </c>
    </row>
    <row r="7" spans="1:43" ht="28" customHeight="1">
      <c r="A7" s="3"/>
      <c r="T7" s="6">
        <v>2</v>
      </c>
      <c r="U7" s="7">
        <v>-0.544203</v>
      </c>
      <c r="V7" s="7">
        <v>-0.421224</v>
      </c>
      <c r="W7" s="7">
        <v>-0.8404160000000001</v>
      </c>
      <c r="X7" s="7">
        <v>-0.5344179999999999</v>
      </c>
      <c r="Y7" s="7">
        <v>-0.797997</v>
      </c>
    </row>
    <row r="8" spans="1:43" ht="28" customHeight="1">
      <c r="A8" s="3"/>
      <c r="T8" s="6">
        <v>3</v>
      </c>
      <c r="U8" s="7">
        <v>-0.444053</v>
      </c>
      <c r="V8" s="7">
        <v>0.271369</v>
      </c>
      <c r="W8" s="7">
        <v>-0.270336</v>
      </c>
      <c r="X8" s="7">
        <v>-0.259638</v>
      </c>
      <c r="Y8" s="7">
        <v>-0.580986</v>
      </c>
    </row>
    <row r="9" spans="1:43" ht="28" customHeight="1">
      <c r="A9" s="3"/>
      <c r="T9" s="6">
        <v>4</v>
      </c>
      <c r="U9" s="7">
        <v>-0.466044</v>
      </c>
      <c r="V9" s="7">
        <v>0.873309</v>
      </c>
      <c r="W9" s="7">
        <v>0.296071</v>
      </c>
      <c r="X9" s="7">
        <v>0.218262</v>
      </c>
      <c r="Y9" s="7">
        <v>-0.6577229999999999</v>
      </c>
    </row>
    <row r="10" spans="1:43" ht="28" customHeight="1">
      <c r="A10" s="3"/>
      <c r="T10" s="6">
        <v>5</v>
      </c>
      <c r="U10" s="7">
        <v>0.458254</v>
      </c>
      <c r="V10" s="7">
        <v>-0.673195</v>
      </c>
      <c r="W10" s="7">
        <v>-0.241089</v>
      </c>
      <c r="X10" s="7">
        <v>0.979047</v>
      </c>
      <c r="Y10" s="7">
        <v>0.28</v>
      </c>
    </row>
    <row r="11" spans="1:43" ht="28" customHeight="1">
      <c r="A11" s="3"/>
      <c r="T11" s="6">
        <v>6</v>
      </c>
      <c r="U11" s="7">
        <v>0.113899</v>
      </c>
      <c r="V11" s="7">
        <v>0.369229</v>
      </c>
      <c r="W11" s="7">
        <v>0.685704</v>
      </c>
      <c r="X11" s="7">
        <v>0.552</v>
      </c>
      <c r="Y11" s="7">
        <v>-0.5419040000000001</v>
      </c>
    </row>
    <row r="12" spans="1:43" ht="28" customHeight="1">
      <c r="A12" s="3"/>
      <c r="T12" s="6">
        <v>7</v>
      </c>
      <c r="U12" s="7">
        <v>-0.9358</v>
      </c>
      <c r="V12" s="7">
        <v>-0.369094</v>
      </c>
      <c r="W12" s="7">
        <v>-0.464518</v>
      </c>
      <c r="X12" s="7">
        <v>-0.578034</v>
      </c>
      <c r="Y12" s="7">
        <v>0.885819</v>
      </c>
    </row>
    <row r="13" spans="1:43" ht="28" customHeight="1">
      <c r="A13" s="3"/>
      <c r="W13" s="8" t="s">
        <v>6</v>
      </c>
    </row>
    <row r="14" spans="1:43" ht="28" customHeight="1">
      <c r="A14" s="3"/>
      <c r="K14" s="4" t="s">
        <v>78</v>
      </c>
      <c r="L14" s="4"/>
      <c r="M14" s="4"/>
      <c r="N14" s="4"/>
      <c r="O14" s="4"/>
      <c r="P14" s="4"/>
      <c r="Q14" s="4"/>
      <c r="R14" s="4"/>
      <c r="U14" s="4" t="s">
        <v>79</v>
      </c>
      <c r="V14" s="4"/>
      <c r="W14" s="4"/>
      <c r="X14" s="4"/>
      <c r="Y14" s="4"/>
    </row>
    <row r="15" spans="1:43" ht="28" customHeight="1">
      <c r="A15" s="3"/>
      <c r="K15" s="5">
        <v>0</v>
      </c>
      <c r="L15" s="5">
        <v>1</v>
      </c>
      <c r="M15" s="5">
        <v>2</v>
      </c>
      <c r="N15" s="5">
        <v>3</v>
      </c>
      <c r="O15" s="5">
        <v>4</v>
      </c>
      <c r="P15" s="5">
        <v>5</v>
      </c>
      <c r="Q15" s="5">
        <v>6</v>
      </c>
      <c r="R15" s="5">
        <v>7</v>
      </c>
      <c r="U15" s="5">
        <v>0</v>
      </c>
      <c r="V15" s="5">
        <v>1</v>
      </c>
      <c r="W15" s="5">
        <v>2</v>
      </c>
      <c r="X15" s="5">
        <v>3</v>
      </c>
      <c r="Y15" s="5">
        <v>4</v>
      </c>
    </row>
    <row r="16" spans="1:43" ht="28" customHeight="1">
      <c r="A16" s="3"/>
      <c r="J16" s="6">
        <v>0</v>
      </c>
      <c r="K16" s="7">
        <v>0.278854</v>
      </c>
      <c r="L16" s="7">
        <v>-0.949978</v>
      </c>
      <c r="M16" s="7">
        <v>-0.449941</v>
      </c>
      <c r="N16" s="7">
        <v>-0.553579</v>
      </c>
      <c r="O16" s="7">
        <v>0.472942</v>
      </c>
      <c r="P16" s="7">
        <v>0.353399</v>
      </c>
      <c r="Q16" s="7">
        <v>0.784359</v>
      </c>
      <c r="R16" s="7">
        <v>-0.826122</v>
      </c>
      <c r="T16" s="6">
        <v>0</v>
      </c>
      <c r="U16" s="7" cm="1">
        <f t="array" ref="U16">MMULT(step_01_embedding_weight,step_01_token_input)</f>
        <v>0</v>
      </c>
      <c r="V16" s="7"/>
      <c r="W16" s="7"/>
      <c r="X16" s="7"/>
      <c r="Y16" s="7"/>
      <c r="Z16" s="9" t="s">
        <v>4</v>
      </c>
      <c r="AC16" s="10" t="s">
        <v>2</v>
      </c>
    </row>
    <row r="17" spans="1:43" ht="28" customHeight="1">
      <c r="A17" s="3"/>
      <c r="J17" s="6">
        <v>1</v>
      </c>
      <c r="K17" s="7">
        <v>-0.156156</v>
      </c>
      <c r="L17" s="7">
        <v>-0.940406</v>
      </c>
      <c r="M17" s="7">
        <v>-0.562724</v>
      </c>
      <c r="N17" s="7">
        <v>0.010711</v>
      </c>
      <c r="O17" s="7">
        <v>-0.946928</v>
      </c>
      <c r="P17" s="7">
        <v>-0.602325</v>
      </c>
      <c r="Q17" s="7">
        <v>0.299769</v>
      </c>
      <c r="R17" s="7">
        <v>0.089883</v>
      </c>
      <c r="T17" s="6">
        <v>1</v>
      </c>
      <c r="U17" s="7"/>
      <c r="V17" s="7"/>
      <c r="W17" s="7"/>
      <c r="X17" s="7"/>
      <c r="Y17" s="7"/>
      <c r="Z17" s="11" t="s">
        <v>5</v>
      </c>
      <c r="AC17" s="10" t="s">
        <v>3</v>
      </c>
    </row>
    <row r="18" spans="1:43" ht="28" customHeight="1">
      <c r="A18" s="3"/>
      <c r="J18" s="6">
        <v>2</v>
      </c>
      <c r="K18" s="7">
        <v>-0.559119</v>
      </c>
      <c r="L18" s="7">
        <v>0.178531</v>
      </c>
      <c r="M18" s="7">
        <v>0.618861</v>
      </c>
      <c r="N18" s="7">
        <v>-0.987002</v>
      </c>
      <c r="O18" s="7">
        <v>0.611639</v>
      </c>
      <c r="P18" s="7">
        <v>0.396279</v>
      </c>
      <c r="Q18" s="7">
        <v>-0.319499</v>
      </c>
      <c r="R18" s="7">
        <v>-0.689041</v>
      </c>
      <c r="S18" s="12" t="s">
        <v>80</v>
      </c>
      <c r="T18" s="6">
        <v>2</v>
      </c>
      <c r="U18" s="7"/>
      <c r="V18" s="7"/>
      <c r="W18" s="7"/>
      <c r="X18" s="7"/>
      <c r="Y18" s="7"/>
      <c r="Z18" s="11"/>
    </row>
    <row r="19" spans="1:43" ht="28" customHeight="1">
      <c r="A19" s="3"/>
      <c r="J19" s="6">
        <v>3</v>
      </c>
      <c r="K19" s="7">
        <v>0.914426</v>
      </c>
      <c r="L19" s="7">
        <v>-0.326811</v>
      </c>
      <c r="M19" s="7">
        <v>-0.814508</v>
      </c>
      <c r="N19" s="7">
        <v>-0.806567</v>
      </c>
      <c r="O19" s="7">
        <v>0.694989</v>
      </c>
      <c r="P19" s="7">
        <v>0.207452</v>
      </c>
      <c r="Q19" s="7">
        <v>0.6142570000000001</v>
      </c>
      <c r="R19" s="7">
        <v>0.459464</v>
      </c>
      <c r="T19" s="6">
        <v>3</v>
      </c>
      <c r="U19" s="7"/>
      <c r="V19" s="7"/>
      <c r="W19" s="7"/>
      <c r="X19" s="7"/>
      <c r="Y19" s="7"/>
      <c r="Z19" s="9" t="s">
        <v>6</v>
      </c>
    </row>
    <row r="20" spans="1:43" ht="28" customHeight="1">
      <c r="A20" s="3"/>
      <c r="W20" s="8" t="s">
        <v>6</v>
      </c>
    </row>
    <row r="21" spans="1:43" ht="28" customHeight="1">
      <c r="A21" s="3"/>
      <c r="B21" s="2" t="s">
        <v>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ht="28" customHeight="1">
      <c r="A22" s="3" t="s">
        <v>160</v>
      </c>
      <c r="U22" s="4" t="s">
        <v>81</v>
      </c>
      <c r="V22" s="4"/>
      <c r="W22" s="4"/>
      <c r="X22" s="4"/>
      <c r="Y22" s="4"/>
    </row>
    <row r="23" spans="1:43" ht="28" customHeight="1">
      <c r="A23" s="3"/>
      <c r="U23" s="5">
        <v>0</v>
      </c>
      <c r="V23" s="5">
        <v>1</v>
      </c>
      <c r="W23" s="5">
        <v>2</v>
      </c>
      <c r="X23" s="5">
        <v>3</v>
      </c>
      <c r="Y23" s="5">
        <v>4</v>
      </c>
    </row>
    <row r="24" spans="1:43" ht="28" customHeight="1">
      <c r="A24" s="3"/>
      <c r="T24" s="6">
        <v>0</v>
      </c>
      <c r="U24" s="7" cm="1">
        <f t="array" ref="U24">step_01_output</f>
        <v>0</v>
      </c>
      <c r="V24" s="7"/>
      <c r="W24" s="7"/>
      <c r="X24" s="7"/>
      <c r="Y24" s="7"/>
      <c r="Z24" s="9" t="s">
        <v>4</v>
      </c>
      <c r="AC24" s="10" t="s">
        <v>8</v>
      </c>
    </row>
    <row r="25" spans="1:43" ht="28" customHeight="1">
      <c r="A25" s="3"/>
      <c r="T25" s="6">
        <v>1</v>
      </c>
      <c r="U25" s="7"/>
      <c r="V25" s="7"/>
      <c r="W25" s="7"/>
      <c r="X25" s="7"/>
      <c r="Y25" s="7"/>
      <c r="Z25" s="11" t="s">
        <v>5</v>
      </c>
      <c r="AC25" s="10" t="s">
        <v>9</v>
      </c>
    </row>
    <row r="26" spans="1:43" ht="28" customHeight="1">
      <c r="A26" s="3"/>
      <c r="T26" s="6">
        <v>2</v>
      </c>
      <c r="U26" s="7"/>
      <c r="V26" s="7"/>
      <c r="W26" s="7"/>
      <c r="X26" s="7"/>
      <c r="Y26" s="7"/>
      <c r="Z26" s="11"/>
    </row>
    <row r="27" spans="1:43" ht="28" customHeight="1">
      <c r="A27" s="3"/>
      <c r="T27" s="6">
        <v>3</v>
      </c>
      <c r="U27" s="7"/>
      <c r="V27" s="7"/>
      <c r="W27" s="7"/>
      <c r="X27" s="7"/>
      <c r="Y27" s="7"/>
      <c r="Z27" s="9" t="s">
        <v>6</v>
      </c>
    </row>
    <row r="28" spans="1:43" ht="28" customHeight="1">
      <c r="A28" s="3"/>
      <c r="W28" s="8" t="s">
        <v>6</v>
      </c>
    </row>
    <row r="29" spans="1:43" ht="28" customHeight="1">
      <c r="A29" s="3"/>
      <c r="B29" s="2" t="s">
        <v>10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ht="28" customHeight="1">
      <c r="A30" s="3" t="s">
        <v>161</v>
      </c>
      <c r="U30" s="4" t="s">
        <v>82</v>
      </c>
      <c r="V30" s="4"/>
      <c r="W30" s="4"/>
      <c r="X30" s="4"/>
      <c r="Y30" s="4"/>
    </row>
    <row r="31" spans="1:43" ht="28" customHeight="1">
      <c r="A31" s="3"/>
      <c r="U31" s="5">
        <v>0</v>
      </c>
      <c r="V31" s="5">
        <v>1</v>
      </c>
      <c r="W31" s="5">
        <v>2</v>
      </c>
      <c r="X31" s="5">
        <v>3</v>
      </c>
      <c r="Y31" s="5">
        <v>4</v>
      </c>
    </row>
    <row r="32" spans="1:43" ht="28" customHeight="1">
      <c r="A32" s="3"/>
      <c r="T32" s="6">
        <v>0</v>
      </c>
      <c r="U32" s="7" cm="1">
        <f t="array" ref="U32">_xlfn.BYCOL(step_03_input,_xlfn.LAMBDA(_xlpm.x,SQRT(SUMSQ(_xlpm.x)/ROWS(step_03_input)+epsilon)))</f>
        <v>0</v>
      </c>
      <c r="V32" s="7"/>
      <c r="W32" s="7"/>
      <c r="X32" s="7"/>
      <c r="Y32" s="7"/>
    </row>
    <row r="33" spans="1:43" ht="28" customHeight="1">
      <c r="A33" s="3"/>
      <c r="W33" s="13" t="s">
        <v>6</v>
      </c>
    </row>
    <row r="34" spans="1:43" ht="28" customHeight="1">
      <c r="A34" s="3"/>
      <c r="U34" s="4" t="s">
        <v>85</v>
      </c>
      <c r="V34" s="4"/>
      <c r="W34" s="4"/>
      <c r="X34" s="4"/>
      <c r="Y34" s="4"/>
    </row>
    <row r="35" spans="1:43" ht="28" customHeight="1">
      <c r="A35" s="3"/>
      <c r="U35" s="5">
        <v>0</v>
      </c>
      <c r="V35" s="5">
        <v>1</v>
      </c>
      <c r="W35" s="5">
        <v>2</v>
      </c>
      <c r="X35" s="5">
        <v>3</v>
      </c>
      <c r="Y35" s="5">
        <v>4</v>
      </c>
    </row>
    <row r="36" spans="1:43" ht="28" customHeight="1">
      <c r="A36" s="3"/>
      <c r="T36" s="6">
        <v>0</v>
      </c>
      <c r="U36" s="7" cm="1">
        <f t="array" ref="U36">step_03_input/step_03_rms</f>
        <v>0</v>
      </c>
      <c r="V36" s="7"/>
      <c r="W36" s="7"/>
      <c r="X36" s="7"/>
      <c r="Y36" s="7"/>
    </row>
    <row r="37" spans="1:43" ht="28" customHeight="1">
      <c r="A37" s="3"/>
      <c r="T37" s="6">
        <v>1</v>
      </c>
      <c r="U37" s="7"/>
      <c r="V37" s="7"/>
      <c r="W37" s="7"/>
      <c r="X37" s="7"/>
      <c r="Y37" s="7"/>
    </row>
    <row r="38" spans="1:43" ht="28" customHeight="1">
      <c r="A38" s="3"/>
      <c r="T38" s="6">
        <v>2</v>
      </c>
      <c r="U38" s="7"/>
      <c r="V38" s="7"/>
      <c r="W38" s="7"/>
      <c r="X38" s="7"/>
      <c r="Y38" s="7"/>
    </row>
    <row r="39" spans="1:43" ht="28" customHeight="1">
      <c r="A39" s="3"/>
      <c r="T39" s="6">
        <v>3</v>
      </c>
      <c r="U39" s="7"/>
      <c r="V39" s="7"/>
      <c r="W39" s="7"/>
      <c r="X39" s="7"/>
      <c r="Y39" s="7"/>
    </row>
    <row r="40" spans="1:43" ht="28" customHeight="1">
      <c r="A40" s="3"/>
      <c r="W40" s="13" t="s">
        <v>6</v>
      </c>
    </row>
    <row r="41" spans="1:43" ht="28" customHeight="1">
      <c r="A41" s="3"/>
      <c r="R41" s="4" t="s">
        <v>83</v>
      </c>
      <c r="U41" s="4" t="s">
        <v>84</v>
      </c>
      <c r="V41" s="4"/>
      <c r="W41" s="4"/>
      <c r="X41" s="4"/>
      <c r="Y41" s="4"/>
    </row>
    <row r="42" spans="1:43" ht="28" customHeight="1">
      <c r="A42" s="3"/>
      <c r="U42" s="5">
        <v>0</v>
      </c>
      <c r="V42" s="5">
        <v>1</v>
      </c>
      <c r="W42" s="5">
        <v>2</v>
      </c>
      <c r="X42" s="5">
        <v>3</v>
      </c>
      <c r="Y42" s="5">
        <v>4</v>
      </c>
    </row>
    <row r="43" spans="1:43" ht="28" customHeight="1">
      <c r="A43" s="3"/>
      <c r="Q43" s="6">
        <v>0</v>
      </c>
      <c r="R43" s="7">
        <v>1.376367</v>
      </c>
      <c r="T43" s="6">
        <v>0</v>
      </c>
      <c r="U43" s="7" cm="1">
        <f t="array" ref="U43">step_03_scale*step_03_normalized</f>
        <v>0</v>
      </c>
      <c r="V43" s="7"/>
      <c r="W43" s="7"/>
      <c r="X43" s="7"/>
      <c r="Y43" s="7"/>
      <c r="Z43" s="9" t="s">
        <v>4</v>
      </c>
      <c r="AC43" s="10" t="s">
        <v>11</v>
      </c>
    </row>
    <row r="44" spans="1:43" ht="28" customHeight="1">
      <c r="A44" s="3"/>
      <c r="Q44" s="6">
        <v>1</v>
      </c>
      <c r="R44" s="7">
        <v>0.814678</v>
      </c>
      <c r="T44" s="6">
        <v>1</v>
      </c>
      <c r="U44" s="7"/>
      <c r="V44" s="7"/>
      <c r="W44" s="7"/>
      <c r="X44" s="7"/>
      <c r="Y44" s="7"/>
      <c r="Z44" s="11" t="s">
        <v>5</v>
      </c>
      <c r="AC44" s="10" t="s">
        <v>12</v>
      </c>
    </row>
    <row r="45" spans="1:43" ht="28" customHeight="1">
      <c r="A45" s="3"/>
      <c r="Q45" s="6">
        <v>2</v>
      </c>
      <c r="R45" s="7">
        <v>1.155439</v>
      </c>
      <c r="S45" s="12" t="s">
        <v>80</v>
      </c>
      <c r="T45" s="6">
        <v>2</v>
      </c>
      <c r="U45" s="7"/>
      <c r="V45" s="7"/>
      <c r="W45" s="7"/>
      <c r="X45" s="7"/>
      <c r="Y45" s="7"/>
      <c r="Z45" s="11"/>
    </row>
    <row r="46" spans="1:43" ht="28" customHeight="1">
      <c r="A46" s="3"/>
      <c r="Q46" s="6">
        <v>3</v>
      </c>
      <c r="R46" s="7">
        <v>0.895632</v>
      </c>
      <c r="T46" s="6">
        <v>3</v>
      </c>
      <c r="U46" s="7"/>
      <c r="V46" s="7"/>
      <c r="W46" s="7"/>
      <c r="X46" s="7"/>
      <c r="Y46" s="7"/>
      <c r="Z46" s="9" t="s">
        <v>6</v>
      </c>
    </row>
    <row r="47" spans="1:43" ht="28" customHeight="1">
      <c r="A47" s="3"/>
      <c r="W47" s="8" t="s">
        <v>6</v>
      </c>
    </row>
    <row r="48" spans="1:43" ht="28" customHeight="1">
      <c r="A48" s="3"/>
      <c r="B48" s="2" t="s">
        <v>13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ht="28" customHeight="1">
      <c r="A49" s="3" t="s">
        <v>162</v>
      </c>
      <c r="O49" s="4" t="s">
        <v>86</v>
      </c>
      <c r="P49" s="4"/>
      <c r="Q49" s="4"/>
      <c r="R49" s="4"/>
      <c r="U49" s="4" t="s">
        <v>87</v>
      </c>
      <c r="V49" s="4"/>
      <c r="W49" s="4"/>
      <c r="X49" s="4"/>
      <c r="Y49" s="4"/>
    </row>
    <row r="50" spans="1:43" ht="28" customHeight="1">
      <c r="A50" s="3"/>
      <c r="O50" s="5">
        <v>0</v>
      </c>
      <c r="P50" s="5">
        <v>1</v>
      </c>
      <c r="Q50" s="5">
        <v>2</v>
      </c>
      <c r="R50" s="5">
        <v>3</v>
      </c>
      <c r="U50" s="5">
        <v>0</v>
      </c>
      <c r="V50" s="5">
        <v>1</v>
      </c>
      <c r="W50" s="5">
        <v>2</v>
      </c>
      <c r="X50" s="5">
        <v>3</v>
      </c>
      <c r="Y50" s="5">
        <v>4</v>
      </c>
    </row>
    <row r="51" spans="1:43" ht="28" customHeight="1">
      <c r="A51" s="3"/>
      <c r="N51" s="6">
        <v>0</v>
      </c>
      <c r="O51" s="14">
        <v>0.829095</v>
      </c>
      <c r="P51" s="15">
        <v>-0.08229599999999999</v>
      </c>
      <c r="Q51" s="15">
        <v>-0.47024</v>
      </c>
      <c r="R51" s="16">
        <v>-0.506745</v>
      </c>
      <c r="T51" s="6">
        <v>0</v>
      </c>
      <c r="U51" s="14" cm="1">
        <f t="array" ref="U51">MMULT(step_04_weight_k1,step_03_output)</f>
        <v>0</v>
      </c>
      <c r="V51" s="15"/>
      <c r="W51" s="15"/>
      <c r="X51" s="15"/>
      <c r="Y51" s="16"/>
      <c r="Z51" s="9" t="s">
        <v>4</v>
      </c>
      <c r="AC51" s="10" t="s">
        <v>14</v>
      </c>
    </row>
    <row r="52" spans="1:43" ht="28" customHeight="1">
      <c r="A52" s="3"/>
      <c r="N52" s="6">
        <v>1</v>
      </c>
      <c r="O52" s="17">
        <v>0.122736</v>
      </c>
      <c r="P52" s="7">
        <v>-0.474517</v>
      </c>
      <c r="Q52" s="7">
        <v>0.169172</v>
      </c>
      <c r="R52" s="18">
        <v>0.795646</v>
      </c>
      <c r="T52" s="6">
        <v>1</v>
      </c>
      <c r="U52" s="17"/>
      <c r="V52" s="7"/>
      <c r="W52" s="7"/>
      <c r="X52" s="7"/>
      <c r="Y52" s="18"/>
      <c r="Z52" s="11" t="s">
        <v>16</v>
      </c>
      <c r="AA52" s="19" t="s">
        <v>88</v>
      </c>
      <c r="AC52" s="10" t="s">
        <v>15</v>
      </c>
    </row>
    <row r="53" spans="1:43" ht="28" customHeight="1">
      <c r="A53" s="3"/>
      <c r="N53" s="6">
        <v>2</v>
      </c>
      <c r="O53" s="17">
        <v>-0.201199</v>
      </c>
      <c r="P53" s="7">
        <v>-0.561358</v>
      </c>
      <c r="Q53" s="7">
        <v>0.995075</v>
      </c>
      <c r="R53" s="18">
        <v>0.019053</v>
      </c>
      <c r="T53" s="6">
        <v>2</v>
      </c>
      <c r="U53" s="17"/>
      <c r="V53" s="7"/>
      <c r="W53" s="7"/>
      <c r="X53" s="7"/>
      <c r="Y53" s="18"/>
      <c r="Z53" s="11"/>
    </row>
    <row r="54" spans="1:43" ht="28" customHeight="1">
      <c r="A54" s="3"/>
      <c r="N54" s="6">
        <v>3</v>
      </c>
      <c r="O54" s="20">
        <v>-0.818181</v>
      </c>
      <c r="P54" s="21">
        <v>-0.905767</v>
      </c>
      <c r="Q54" s="21">
        <v>-0.780702</v>
      </c>
      <c r="R54" s="22">
        <v>0.254892</v>
      </c>
      <c r="T54" s="6">
        <v>3</v>
      </c>
      <c r="U54" s="20"/>
      <c r="V54" s="21"/>
      <c r="W54" s="21"/>
      <c r="X54" s="21"/>
      <c r="Y54" s="22"/>
      <c r="Z54" s="11"/>
    </row>
    <row r="55" spans="1:43" ht="28" customHeight="1">
      <c r="A55" s="3"/>
      <c r="N55" s="6">
        <v>4</v>
      </c>
      <c r="O55" s="14">
        <v>0.584159</v>
      </c>
      <c r="P55" s="15">
        <v>-0.15568</v>
      </c>
      <c r="Q55" s="15">
        <v>-0.872945</v>
      </c>
      <c r="R55" s="16">
        <v>-0.236761</v>
      </c>
      <c r="S55" s="12" t="s">
        <v>80</v>
      </c>
      <c r="T55" s="6">
        <v>4</v>
      </c>
      <c r="U55" s="14" cm="1">
        <f t="array" ref="U55">MMULT(step_04_weight_k2,step_03_output)</f>
        <v>0</v>
      </c>
      <c r="V55" s="15"/>
      <c r="W55" s="15"/>
      <c r="X55" s="15"/>
      <c r="Y55" s="16"/>
      <c r="Z55" s="11"/>
    </row>
    <row r="56" spans="1:43" ht="28" customHeight="1">
      <c r="A56" s="3"/>
      <c r="N56" s="6">
        <v>5</v>
      </c>
      <c r="O56" s="17">
        <v>0.992243</v>
      </c>
      <c r="P56" s="7">
        <v>0.058229</v>
      </c>
      <c r="Q56" s="7">
        <v>0.942157</v>
      </c>
      <c r="R56" s="18">
        <v>0.721559</v>
      </c>
      <c r="T56" s="6">
        <v>5</v>
      </c>
      <c r="U56" s="17"/>
      <c r="V56" s="7"/>
      <c r="W56" s="7"/>
      <c r="X56" s="7"/>
      <c r="Y56" s="18"/>
      <c r="Z56" s="11"/>
      <c r="AA56" s="19" t="s">
        <v>89</v>
      </c>
    </row>
    <row r="57" spans="1:43" ht="28" customHeight="1">
      <c r="A57" s="3"/>
      <c r="N57" s="6">
        <v>6</v>
      </c>
      <c r="O57" s="17">
        <v>-0.977038</v>
      </c>
      <c r="P57" s="7">
        <v>0.441444</v>
      </c>
      <c r="Q57" s="7">
        <v>0.363421</v>
      </c>
      <c r="R57" s="18">
        <v>0.07394100000000001</v>
      </c>
      <c r="T57" s="6">
        <v>6</v>
      </c>
      <c r="U57" s="17"/>
      <c r="V57" s="7"/>
      <c r="W57" s="7"/>
      <c r="X57" s="7"/>
      <c r="Y57" s="18"/>
      <c r="Z57" s="11"/>
    </row>
    <row r="58" spans="1:43" ht="28" customHeight="1">
      <c r="A58" s="3"/>
      <c r="N58" s="6">
        <v>7</v>
      </c>
      <c r="O58" s="20">
        <v>-0.46635</v>
      </c>
      <c r="P58" s="21">
        <v>0.281924</v>
      </c>
      <c r="Q58" s="21">
        <v>-0.776896</v>
      </c>
      <c r="R58" s="22">
        <v>-0.130469</v>
      </c>
      <c r="T58" s="6">
        <v>7</v>
      </c>
      <c r="U58" s="20"/>
      <c r="V58" s="21"/>
      <c r="W58" s="21"/>
      <c r="X58" s="21"/>
      <c r="Y58" s="22"/>
      <c r="Z58" s="9" t="s">
        <v>6</v>
      </c>
    </row>
    <row r="59" spans="1:43" ht="28" customHeight="1">
      <c r="A59" s="3"/>
      <c r="W59" s="8" t="s">
        <v>6</v>
      </c>
    </row>
    <row r="60" spans="1:43" ht="28" customHeight="1">
      <c r="A60" s="3"/>
      <c r="B60" s="2" t="s">
        <v>17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ht="28" customHeight="1">
      <c r="A61" s="3" t="s">
        <v>163</v>
      </c>
      <c r="U61" s="4" t="s">
        <v>101</v>
      </c>
      <c r="V61" s="4"/>
      <c r="W61" s="4"/>
      <c r="X61" s="4"/>
      <c r="Y61" s="4"/>
    </row>
    <row r="62" spans="1:43" ht="28" customHeight="1">
      <c r="A62" s="3"/>
      <c r="U62" s="5">
        <v>0</v>
      </c>
      <c r="V62" s="5">
        <v>1</v>
      </c>
      <c r="W62" s="5">
        <v>2</v>
      </c>
      <c r="X62" s="5">
        <v>3</v>
      </c>
      <c r="Y62" s="5">
        <v>4</v>
      </c>
    </row>
    <row r="63" spans="1:43" ht="28" customHeight="1">
      <c r="A63" s="3"/>
      <c r="T63" s="6">
        <v>0</v>
      </c>
      <c r="U63" s="7">
        <f>INDEX(step_05_input,1,1)</f>
        <v>1.2673365860893941</v>
      </c>
      <c r="V63" s="7">
        <f>INDEX(step_05_input,1,2)</f>
        <v>0.24294487721542696</v>
      </c>
      <c r="W63" s="7">
        <f>INDEX(step_05_input,1,3)</f>
        <v>1.1233414416278846</v>
      </c>
      <c r="X63" s="7">
        <f>INDEX(step_05_input,1,4)</f>
        <v>0.7843179206020434</v>
      </c>
      <c r="Y63" s="7">
        <f>INDEX(step_05_input,1,5)</f>
        <v>0.13496654877914588</v>
      </c>
    </row>
    <row r="64" spans="1:43" ht="28" customHeight="1">
      <c r="A64" s="3"/>
      <c r="T64" s="6">
        <v>2</v>
      </c>
      <c r="U64" s="7">
        <f>INDEX(step_05_input,3,1)</f>
        <v>0.49723638502459055</v>
      </c>
      <c r="V64" s="7">
        <f>INDEX(step_05_input,3,2)</f>
        <v>-0.3063557195024842</v>
      </c>
      <c r="W64" s="7">
        <f>INDEX(step_05_input,3,3)</f>
        <v>-0.4864030937071576</v>
      </c>
      <c r="X64" s="7">
        <f>INDEX(step_05_input,3,4)</f>
        <v>0.7730494552716962</v>
      </c>
      <c r="Y64" s="7">
        <f>INDEX(step_05_input,3,5)</f>
        <v>-1.6387456014692015</v>
      </c>
    </row>
    <row r="65" spans="1:25" ht="28" customHeight="1">
      <c r="A65" s="3"/>
      <c r="T65" s="6">
        <v>4</v>
      </c>
      <c r="U65" s="7">
        <f>INDEX(step_05_input,5,1)</f>
        <v>0.3080651298408275</v>
      </c>
      <c r="V65" s="7">
        <f>INDEX(step_05_input,5,2)</f>
        <v>0.8028627319668558</v>
      </c>
      <c r="W65" s="7">
        <f>INDEX(step_05_input,5,3)</f>
        <v>0.8097977180748119</v>
      </c>
      <c r="X65" s="7">
        <f>INDEX(step_05_input,5,4)</f>
        <v>0.30091624044258247</v>
      </c>
      <c r="Y65" s="7">
        <f>INDEX(step_05_input,5,5)</f>
        <v>0.7038998260117594</v>
      </c>
    </row>
    <row r="66" spans="1:25" ht="28" customHeight="1">
      <c r="A66" s="3"/>
      <c r="T66" s="6">
        <v>6</v>
      </c>
      <c r="U66" s="7">
        <f>INDEX(step_05_input,7,1)</f>
        <v>-1.7709233209283959</v>
      </c>
      <c r="V66" s="7">
        <f>INDEX(step_05_input,7,2)</f>
        <v>-1.1570759400810415</v>
      </c>
      <c r="W66" s="7">
        <f>INDEX(step_05_input,7,3)</f>
        <v>-1.7735130932979555</v>
      </c>
      <c r="X66" s="7">
        <f>INDEX(step_05_input,7,4)</f>
        <v>-1.772723832664012</v>
      </c>
      <c r="Y66" s="7">
        <f>INDEX(step_05_input,7,5)</f>
        <v>-0.23103349348204888</v>
      </c>
    </row>
    <row r="67" spans="1:25" ht="28" customHeight="1">
      <c r="A67" s="3"/>
      <c r="T67" s="6">
        <v>1</v>
      </c>
      <c r="U67" s="7">
        <f>INDEX(step_05_input,2,1)</f>
        <v>0.5886129469254837</v>
      </c>
      <c r="V67" s="7">
        <f>INDEX(step_05_input,2,2)</f>
        <v>1.4422376766762801</v>
      </c>
      <c r="W67" s="7">
        <f>INDEX(step_05_input,2,3)</f>
        <v>0.9463039667242904</v>
      </c>
      <c r="X67" s="7">
        <f>INDEX(step_05_input,2,4)</f>
        <v>1.3960518909540502</v>
      </c>
      <c r="Y67" s="7">
        <f>INDEX(step_05_input,2,5)</f>
        <v>0.32984001981224</v>
      </c>
    </row>
    <row r="68" spans="1:25" ht="28" customHeight="1">
      <c r="A68" s="3"/>
      <c r="T68" s="6">
        <v>3</v>
      </c>
      <c r="U68" s="7">
        <f>INDEX(step_05_input,4,1)</f>
        <v>-2.9196805292168966</v>
      </c>
      <c r="V68" s="7">
        <f>INDEX(step_05_input,4,2)</f>
        <v>1.1911116511917699</v>
      </c>
      <c r="W68" s="7">
        <f>INDEX(step_05_input,4,3)</f>
        <v>-1.9097115313056816</v>
      </c>
      <c r="X68" s="7">
        <f>INDEX(step_05_input,4,4)</f>
        <v>-1.3475433709742177</v>
      </c>
      <c r="Y68" s="7">
        <f>INDEX(step_05_input,4,5)</f>
        <v>-0.08282598981418005</v>
      </c>
    </row>
    <row r="69" spans="1:25" ht="28" customHeight="1">
      <c r="A69" s="3"/>
      <c r="T69" s="6">
        <v>5</v>
      </c>
      <c r="U69" s="7">
        <f>INDEX(step_05_input,6,1)</f>
        <v>3.5845216029896125</v>
      </c>
      <c r="V69" s="7">
        <f>INDEX(step_05_input,6,2)</f>
        <v>0.8616249547164947</v>
      </c>
      <c r="W69" s="7">
        <f>INDEX(step_05_input,6,3)</f>
        <v>3.013727577614911</v>
      </c>
      <c r="X69" s="7">
        <f>INDEX(step_05_input,6,4)</f>
        <v>3.2372445921598527</v>
      </c>
      <c r="Y69" s="7">
        <f>INDEX(step_05_input,6,5)</f>
        <v>0.28587359171246235</v>
      </c>
    </row>
    <row r="70" spans="1:25" ht="28" customHeight="1">
      <c r="A70" s="3"/>
      <c r="T70" s="6">
        <v>7</v>
      </c>
      <c r="U70" s="7">
        <f>INDEX(step_05_input,8,1)</f>
        <v>-1.9214174065074696</v>
      </c>
      <c r="V70" s="7">
        <f>INDEX(step_05_input,8,2)</f>
        <v>-0.16355448959403932</v>
      </c>
      <c r="W70" s="7">
        <f>INDEX(step_05_input,8,3)</f>
        <v>-1.1220008191005812</v>
      </c>
      <c r="X70" s="7">
        <f>INDEX(step_05_input,8,4)</f>
        <v>-1.7877865184223038</v>
      </c>
      <c r="Y70" s="7">
        <f>INDEX(step_05_input,8,5)</f>
        <v>0.7576430083540946</v>
      </c>
    </row>
    <row r="71" spans="1:25" ht="28" customHeight="1">
      <c r="A71" s="3"/>
      <c r="W71" s="13" t="s">
        <v>6</v>
      </c>
    </row>
    <row r="72" spans="1:25" ht="28" customHeight="1">
      <c r="A72" s="3"/>
      <c r="E72" s="23" t="s">
        <v>90</v>
      </c>
      <c r="F72" s="23"/>
      <c r="G72" s="23"/>
      <c r="H72" s="23"/>
      <c r="I72" s="23"/>
      <c r="J72" s="23"/>
      <c r="K72" s="23"/>
      <c r="L72" s="23"/>
      <c r="U72" s="4" t="s">
        <v>102</v>
      </c>
      <c r="V72" s="4"/>
      <c r="W72" s="4"/>
      <c r="X72" s="4"/>
      <c r="Y72" s="4"/>
    </row>
    <row r="73" spans="1:25" ht="28" customHeight="1">
      <c r="A73" s="3"/>
      <c r="E73" s="24" t="s">
        <v>91</v>
      </c>
      <c r="F73" s="24"/>
      <c r="H73" s="24" t="s">
        <v>93</v>
      </c>
      <c r="I73" s="24"/>
      <c r="K73" s="24" t="s">
        <v>95</v>
      </c>
      <c r="L73" s="24"/>
      <c r="N73" s="24" t="s">
        <v>97</v>
      </c>
      <c r="O73" s="24"/>
      <c r="Q73" s="24" t="s">
        <v>99</v>
      </c>
      <c r="R73" s="24"/>
      <c r="U73" s="5">
        <v>0</v>
      </c>
      <c r="V73" s="5">
        <v>1</v>
      </c>
      <c r="W73" s="5">
        <v>2</v>
      </c>
      <c r="X73" s="5">
        <v>3</v>
      </c>
      <c r="Y73" s="5">
        <v>4</v>
      </c>
    </row>
    <row r="74" spans="1:25" ht="28" customHeight="1">
      <c r="A74" s="3"/>
      <c r="E74" s="7">
        <f>COS($U$73*POWER(step_05_rope_base,-2*0/step_05_proxy_head_dim))</f>
        <v>1.0</v>
      </c>
      <c r="F74" s="7">
        <f>-SIN($U$73*POWER(step_05_rope_base,-2*0/step_05_proxy_head_dim))</f>
        <v>-0.0</v>
      </c>
      <c r="H74" s="7">
        <f>COS($V$73*POWER(step_05_rope_base,-2*0/step_05_proxy_head_dim))</f>
        <v>0.5403023058681398</v>
      </c>
      <c r="I74" s="7">
        <f>-SIN($V$73*POWER(step_05_rope_base,-2*0/step_05_proxy_head_dim))</f>
        <v>-0.8414709848078965</v>
      </c>
      <c r="K74" s="7">
        <f>COS($W$73*POWER(step_05_rope_base,-2*0/step_05_proxy_head_dim))</f>
        <v>-0.4161468365471424</v>
      </c>
      <c r="L74" s="7">
        <f>-SIN($W$73*POWER(step_05_rope_base,-2*0/step_05_proxy_head_dim))</f>
        <v>-0.9092974268256817</v>
      </c>
      <c r="N74" s="7">
        <f>COS($X$73*POWER(step_05_rope_base,-2*0/step_05_proxy_head_dim))</f>
        <v>-0.9899924966004454</v>
      </c>
      <c r="O74" s="7">
        <f>-SIN($X$73*POWER(step_05_rope_base,-2*0/step_05_proxy_head_dim))</f>
        <v>-0.1411200080598672</v>
      </c>
      <c r="Q74" s="7">
        <f>COS($Y$73*POWER(step_05_rope_base,-2*0/step_05_proxy_head_dim))</f>
        <v>-0.6536436208636119</v>
      </c>
      <c r="R74" s="7">
        <f>-SIN($Y$73*POWER(step_05_rope_base,-2*0/step_05_proxy_head_dim))</f>
        <v>0.7568024953079283</v>
      </c>
      <c r="T74" s="6">
        <v>0</v>
      </c>
      <c r="U74" s="7" cm="1">
        <f t="array" ref="U74">MMULT(step_05_rotation_0_0,$U$63:$U$64)</f>
        <v>1.2673365860893941</v>
      </c>
      <c r="V74" s="7" cm="1">
        <f t="array" ref="V74">MMULT(step_05_rotation_1_0,$V$63:$V$64)</f>
        <v>0.38905312634963435</v>
      </c>
      <c r="W74" s="7" cm="1">
        <f t="array" ref="W74">MMULT(step_05_rotation_2_0,$W$63:$W$64)</f>
        <v>-0.02518990578778124</v>
      </c>
      <c r="X74" s="7" cm="1">
        <f t="array" ref="X74">MMULT(step_05_rotation_3_0,$X$63:$X$64)</f>
        <v>-0.8855616017039045</v>
      </c>
      <c r="Y74" s="7" cm="1">
        <f t="array" ref="Y74">MMULT(step_05_rotation_4_0,$Y$63:$Y$64)</f>
        <v>-1.3284267840062496</v>
      </c>
    </row>
    <row r="75" spans="1:25" ht="28" customHeight="1">
      <c r="A75" s="3"/>
      <c r="E75" s="7">
        <f>SIN($U$73*POWER(step_05_rope_base,-2*0/step_05_proxy_head_dim))</f>
        <v>0.0</v>
      </c>
      <c r="F75" s="7">
        <f>COS($U$73*POWER(step_05_rope_base,-2*0/step_05_proxy_head_dim))</f>
        <v>1.0</v>
      </c>
      <c r="H75" s="7">
        <f>SIN($V$73*POWER(step_05_rope_base,-2*0/step_05_proxy_head_dim))</f>
        <v>0.8414709848078965</v>
      </c>
      <c r="I75" s="7">
        <f>COS($V$73*POWER(step_05_rope_base,-2*0/step_05_proxy_head_dim))</f>
        <v>0.5403023058681398</v>
      </c>
      <c r="K75" s="7">
        <f>SIN($W$73*POWER(step_05_rope_base,-2*0/step_05_proxy_head_dim))</f>
        <v>0.9092974268256817</v>
      </c>
      <c r="L75" s="7">
        <f>COS($W$73*POWER(step_05_rope_base,-2*0/step_05_proxy_head_dim))</f>
        <v>-0.4161468365471424</v>
      </c>
      <c r="N75" s="7">
        <f>SIN($X$73*POWER(step_05_rope_base,-2*0/step_05_proxy_head_dim))</f>
        <v>0.1411200080598672</v>
      </c>
      <c r="O75" s="7">
        <f>COS($X$73*POWER(step_05_rope_base,-2*0/step_05_proxy_head_dim))</f>
        <v>-0.9899924966004454</v>
      </c>
      <c r="Q75" s="7">
        <f>SIN($Y$73*POWER(step_05_rope_base,-2*0/step_05_proxy_head_dim))</f>
        <v>-0.7568024953079283</v>
      </c>
      <c r="R75" s="7">
        <f>COS($Y$73*POWER(step_05_rope_base,-2*0/step_05_proxy_head_dim))</f>
        <v>-0.6536436208636119</v>
      </c>
      <c r="T75" s="6">
        <v>2</v>
      </c>
      <c r="U75" s="7"/>
      <c r="V75" s="7"/>
      <c r="W75" s="7"/>
      <c r="X75" s="7"/>
      <c r="Y75" s="7"/>
    </row>
    <row r="76" spans="1:25" ht="28" customHeight="1">
      <c r="A76" s="3"/>
      <c r="S76" s="12" t="s">
        <v>80</v>
      </c>
      <c r="T76" s="6">
        <v>4</v>
      </c>
      <c r="U76" s="7" cm="1">
        <f t="array" ref="U76">MMULT(step_05_rotation_0_0,$U$65:$U$66)</f>
        <v>0.3080651298408275</v>
      </c>
      <c r="V76" s="7" cm="1">
        <f t="array" ref="V76">MMULT(step_05_rotation_1_0,$V$65:$V$66)</f>
        <v>1.4074344161748031</v>
      </c>
      <c r="W76" s="7" cm="1">
        <f t="array" ref="W76">MMULT(step_05_rotation_2_0,$W$65:$W$66)</f>
        <v>1.2756561335575585</v>
      </c>
      <c r="X76" s="7" cm="1">
        <f t="array" ref="X76">MMULT(step_05_rotation_3_0,$X$65:$X$66)</f>
        <v>-0.047738018589908116</v>
      </c>
      <c r="Y76" s="7" cm="1">
        <f t="array" ref="Y76">MMULT(step_05_rotation_4_0,$Y$65:$Y$66)</f>
        <v>-0.6349463553665154</v>
      </c>
    </row>
    <row r="77" spans="1:25" ht="28" customHeight="1">
      <c r="A77" s="3"/>
      <c r="E77" s="24" t="s">
        <v>92</v>
      </c>
      <c r="F77" s="24"/>
      <c r="H77" s="24" t="s">
        <v>94</v>
      </c>
      <c r="I77" s="24"/>
      <c r="K77" s="24" t="s">
        <v>96</v>
      </c>
      <c r="L77" s="24"/>
      <c r="N77" s="24" t="s">
        <v>98</v>
      </c>
      <c r="O77" s="24"/>
      <c r="Q77" s="24" t="s">
        <v>100</v>
      </c>
      <c r="R77" s="24"/>
      <c r="T77" s="6">
        <v>6</v>
      </c>
      <c r="U77" s="7"/>
      <c r="V77" s="7"/>
      <c r="W77" s="7"/>
      <c r="X77" s="7"/>
      <c r="Y77" s="7"/>
    </row>
    <row r="78" spans="1:25" ht="28" customHeight="1">
      <c r="A78" s="3"/>
      <c r="E78" s="7">
        <f>COS($U$73*POWER(step_05_rope_base,-2*1/step_05_proxy_head_dim))</f>
        <v>1.0</v>
      </c>
      <c r="F78" s="7">
        <f>-SIN($U$73*POWER(step_05_rope_base,-2*1/step_05_proxy_head_dim))</f>
        <v>-0.0</v>
      </c>
      <c r="H78" s="7">
        <f>COS($V$73*POWER(step_05_rope_base,-2*1/step_05_proxy_head_dim))</f>
        <v>0.9999990000001666</v>
      </c>
      <c r="I78" s="7">
        <f>-SIN($V$73*POWER(step_05_rope_base,-2*1/step_05_proxy_head_dim))</f>
        <v>-0.0014142130909686214</v>
      </c>
      <c r="K78" s="7">
        <f>COS($W$73*POWER(step_05_rope_base,-2*1/step_05_proxy_head_dim))</f>
        <v>0.9999960000026666</v>
      </c>
      <c r="L78" s="7">
        <f>-SIN($W$73*POWER(step_05_rope_base,-2*1/step_05_proxy_head_dim))</f>
        <v>-0.002828423353511532</v>
      </c>
      <c r="N78" s="7">
        <f>COS($X$73*POWER(step_05_rope_base,-2*1/step_05_proxy_head_dim))</f>
        <v>0.9999910000134999</v>
      </c>
      <c r="O78" s="7">
        <f>-SIN($X$73*POWER(step_05_rope_base,-2*1/step_05_proxy_head_dim))</f>
        <v>-0.004242627959208678</v>
      </c>
      <c r="Q78" s="7">
        <f>COS($Y$73*POWER(step_05_rope_base,-2*1/step_05_proxy_head_dim))</f>
        <v>0.9999840000426666</v>
      </c>
      <c r="R78" s="7">
        <f>-SIN($Y$73*POWER(step_05_rope_base,-2*1/step_05_proxy_head_dim))</f>
        <v>-0.0056568240796513215</v>
      </c>
      <c r="T78" s="6">
        <v>1</v>
      </c>
      <c r="U78" s="7" cm="1">
        <f t="array" ref="U78">MMULT(step_05_rotation_0_1,$U$67:$U$68)</f>
        <v>0.5886129469254837</v>
      </c>
      <c r="V78" s="7" cm="1">
        <f t="array" ref="V78">MMULT(step_05_rotation_1_1,$V$67:$V$68)</f>
        <v>1.440551748748923</v>
      </c>
      <c r="W78" s="7" cm="1">
        <f t="array" ref="W78">MMULT(step_05_rotation_2_1,$W$67:$W$68)</f>
        <v>0.9517016542045622</v>
      </c>
      <c r="X78" s="7" cm="1">
        <f t="array" ref="X78">MMULT(step_05_rotation_3_1,$X$67:$X$68)</f>
        <v>1.4017564516878198</v>
      </c>
      <c r="Y78" s="7" cm="1">
        <f t="array" ref="Y78">MMULT(step_05_rotation_4_1,$Y$67:$Y$68)</f>
        <v>0.33030327443959795</v>
      </c>
    </row>
    <row r="79" spans="1:25" ht="28" customHeight="1">
      <c r="A79" s="3"/>
      <c r="E79" s="7">
        <f>SIN($U$73*POWER(step_05_rope_base,-2*1/step_05_proxy_head_dim))</f>
        <v>0.0</v>
      </c>
      <c r="F79" s="7">
        <f>COS($U$73*POWER(step_05_rope_base,-2*1/step_05_proxy_head_dim))</f>
        <v>1.0</v>
      </c>
      <c r="H79" s="7">
        <f>SIN($V$73*POWER(step_05_rope_base,-2*1/step_05_proxy_head_dim))</f>
        <v>0.0014142130909686214</v>
      </c>
      <c r="I79" s="7">
        <f>COS($V$73*POWER(step_05_rope_base,-2*1/step_05_proxy_head_dim))</f>
        <v>0.9999990000001666</v>
      </c>
      <c r="K79" s="7">
        <f>SIN($W$73*POWER(step_05_rope_base,-2*1/step_05_proxy_head_dim))</f>
        <v>0.002828423353511532</v>
      </c>
      <c r="L79" s="7">
        <f>COS($W$73*POWER(step_05_rope_base,-2*1/step_05_proxy_head_dim))</f>
        <v>0.9999960000026666</v>
      </c>
      <c r="N79" s="7">
        <f>SIN($X$73*POWER(step_05_rope_base,-2*1/step_05_proxy_head_dim))</f>
        <v>0.004242627959208678</v>
      </c>
      <c r="O79" s="7">
        <f>COS($X$73*POWER(step_05_rope_base,-2*1/step_05_proxy_head_dim))</f>
        <v>0.9999910000134999</v>
      </c>
      <c r="Q79" s="7">
        <f>SIN($Y$73*POWER(step_05_rope_base,-2*1/step_05_proxy_head_dim))</f>
        <v>0.0056568240796513215</v>
      </c>
      <c r="R79" s="7">
        <f>COS($Y$73*POWER(step_05_rope_base,-2*1/step_05_proxy_head_dim))</f>
        <v>0.9999840000426666</v>
      </c>
      <c r="T79" s="6">
        <v>3</v>
      </c>
      <c r="U79" s="7"/>
      <c r="V79" s="7"/>
      <c r="W79" s="7"/>
      <c r="X79" s="7"/>
      <c r="Y79" s="7"/>
    </row>
    <row r="80" spans="1:25" ht="28" customHeight="1">
      <c r="A80" s="3"/>
      <c r="T80" s="6">
        <v>5</v>
      </c>
      <c r="U80" s="7" cm="1">
        <f t="array" ref="U80">MMULT(step_05_rotation_0_1,$U$69:$U$70)</f>
        <v>3.5845216029896125</v>
      </c>
      <c r="V80" s="7" cm="1">
        <f t="array" ref="V80">MMULT(step_05_rotation_1_1,$V$69:$V$70)</f>
        <v>0.8618553939919541</v>
      </c>
      <c r="W80" s="7" cm="1">
        <f t="array" ref="W80">MMULT(step_05_rotation_2_1,$W$69:$W$70)</f>
        <v>3.01688901603204</v>
      </c>
      <c r="X80" s="7" cm="1">
        <f t="array" ref="X80">MMULT(step_05_rotation_3_1,$X$69:$X$70)</f>
        <v>3.2448003700703807</v>
      </c>
      <c r="Y80" s="7" cm="1">
        <f t="array" ref="Y80">MMULT(step_05_rotation_4_1,$Y$69:$Y$70)</f>
        <v>0.2815831645337553</v>
      </c>
    </row>
    <row r="81" spans="1:43" ht="28" customHeight="1">
      <c r="A81" s="3"/>
      <c r="T81" s="6">
        <v>7</v>
      </c>
      <c r="U81" s="7"/>
      <c r="V81" s="7"/>
      <c r="W81" s="7"/>
      <c r="X81" s="7"/>
      <c r="Y81" s="7"/>
    </row>
    <row r="82" spans="1:43" ht="28" customHeight="1">
      <c r="A82" s="3"/>
      <c r="W82" s="13" t="s">
        <v>6</v>
      </c>
    </row>
    <row r="83" spans="1:43" ht="28" customHeight="1">
      <c r="A83" s="3"/>
      <c r="U83" s="4" t="s">
        <v>103</v>
      </c>
      <c r="V83" s="4"/>
      <c r="W83" s="4"/>
      <c r="X83" s="4"/>
      <c r="Y83" s="4"/>
      <c r="Z83" s="4"/>
    </row>
    <row r="84" spans="1:43" ht="28" customHeight="1">
      <c r="A84" s="3"/>
      <c r="U84" s="5">
        <v>0</v>
      </c>
      <c r="V84" s="5">
        <v>1</v>
      </c>
      <c r="W84" s="5">
        <v>2</v>
      </c>
      <c r="X84" s="5">
        <v>3</v>
      </c>
      <c r="Y84" s="5">
        <v>4</v>
      </c>
    </row>
    <row r="85" spans="1:43" ht="28" customHeight="1">
      <c r="A85" s="3"/>
      <c r="T85" s="6">
        <v>0</v>
      </c>
      <c r="U85" s="14">
        <f>INDEX(step_05_paired_output,1,1)</f>
        <v>1.2673365860893941</v>
      </c>
      <c r="V85" s="15">
        <f>INDEX(step_05_paired_output,1,2)</f>
        <v>0.38905312634963435</v>
      </c>
      <c r="W85" s="15">
        <f>INDEX(step_05_paired_output,1,3)</f>
        <v>-0.02518990578778124</v>
      </c>
      <c r="X85" s="15">
        <f>INDEX(step_05_paired_output,1,4)</f>
        <v>-0.8855616017039045</v>
      </c>
      <c r="Y85" s="16">
        <f>INDEX(step_05_paired_output,1,5)</f>
        <v>-1.3284267840062496</v>
      </c>
      <c r="Z85" s="9" t="s">
        <v>4</v>
      </c>
      <c r="AC85" s="10" t="s">
        <v>18</v>
      </c>
    </row>
    <row r="86" spans="1:43" ht="28" customHeight="1">
      <c r="A86" s="3"/>
      <c r="T86" s="6">
        <v>1</v>
      </c>
      <c r="U86" s="17">
        <f>INDEX(step_05_paired_output,5,1)</f>
        <v>0.5886129469254837</v>
      </c>
      <c r="V86" s="7">
        <f>INDEX(step_05_paired_output,5,2)</f>
        <v>1.440551748748923</v>
      </c>
      <c r="W86" s="7">
        <f>INDEX(step_05_paired_output,5,3)</f>
        <v>0.9517016542045622</v>
      </c>
      <c r="X86" s="7">
        <f>INDEX(step_05_paired_output,5,4)</f>
        <v>1.4017564516878198</v>
      </c>
      <c r="Y86" s="18">
        <f>INDEX(step_05_paired_output,5,5)</f>
        <v>0.33030327443959795</v>
      </c>
      <c r="Z86" s="11" t="s">
        <v>16</v>
      </c>
      <c r="AA86" s="19" t="s">
        <v>88</v>
      </c>
      <c r="AC86" s="10" t="s">
        <v>19</v>
      </c>
    </row>
    <row r="87" spans="1:43" ht="28" customHeight="1">
      <c r="A87" s="3"/>
      <c r="T87" s="6">
        <v>2</v>
      </c>
      <c r="U87" s="17">
        <f>INDEX(step_05_paired_output,2,1)</f>
        <v>0.49723638502459055</v>
      </c>
      <c r="V87" s="7">
        <f>INDEX(step_05_paired_output,2,2)</f>
        <v>0.03890636342141357</v>
      </c>
      <c r="W87" s="7">
        <f>INDEX(step_05_paired_output,2,3)</f>
        <v>1.223866591051864</v>
      </c>
      <c r="X87" s="7">
        <f>INDEX(step_05_paired_output,2,4)</f>
        <v>-0.6546302089431822</v>
      </c>
      <c r="Y87" s="18">
        <f>INDEX(step_05_paired_output,2,5)</f>
        <v>0.9690125877194896</v>
      </c>
      <c r="Z87" s="11"/>
    </row>
    <row r="88" spans="1:43" ht="28" customHeight="1">
      <c r="A88" s="3"/>
      <c r="T88" s="6">
        <v>3</v>
      </c>
      <c r="U88" s="20">
        <f>INDEX(step_05_paired_output,6,1)</f>
        <v>-2.9196805292168966</v>
      </c>
      <c r="V88" s="21">
        <f>INDEX(step_05_paired_output,6,2)</f>
        <v>1.193150091482961</v>
      </c>
      <c r="W88" s="21">
        <f>INDEX(step_05_paired_output,6,3)</f>
        <v>-1.9070273442256453</v>
      </c>
      <c r="X88" s="21">
        <f>INDEX(step_05_paired_output,6,4)</f>
        <v>-1.341608314317003</v>
      </c>
      <c r="Y88" s="22">
        <f>INDEX(step_05_paired_output,6,5)</f>
        <v>-0.08095881763537038</v>
      </c>
      <c r="Z88" s="11"/>
    </row>
    <row r="89" spans="1:43" ht="28" customHeight="1">
      <c r="A89" s="3"/>
      <c r="T89" s="6">
        <v>4</v>
      </c>
      <c r="U89" s="14">
        <f>INDEX(step_05_paired_output,3,1)</f>
        <v>0.3080651298408275</v>
      </c>
      <c r="V89" s="15">
        <f>INDEX(step_05_paired_output,3,2)</f>
        <v>1.4074344161748031</v>
      </c>
      <c r="W89" s="15">
        <f>INDEX(step_05_paired_output,3,3)</f>
        <v>1.2756561335575585</v>
      </c>
      <c r="X89" s="15">
        <f>INDEX(step_05_paired_output,3,4)</f>
        <v>-0.047738018589908116</v>
      </c>
      <c r="Y89" s="16">
        <f>INDEX(step_05_paired_output,3,5)</f>
        <v>-0.6349463553665154</v>
      </c>
      <c r="Z89" s="11"/>
    </row>
    <row r="90" spans="1:43" ht="28" customHeight="1">
      <c r="A90" s="3"/>
      <c r="T90" s="6">
        <v>5</v>
      </c>
      <c r="U90" s="17">
        <f>INDEX(step_05_paired_output,7,1)</f>
        <v>3.5845216029896125</v>
      </c>
      <c r="V90" s="7">
        <f>INDEX(step_05_paired_output,7,2)</f>
        <v>0.8618553939919541</v>
      </c>
      <c r="W90" s="7">
        <f>INDEX(step_05_paired_output,7,3)</f>
        <v>3.01688901603204</v>
      </c>
      <c r="X90" s="7">
        <f>INDEX(step_05_paired_output,7,4)</f>
        <v>3.2448003700703807</v>
      </c>
      <c r="Y90" s="18">
        <f>INDEX(step_05_paired_output,7,5)</f>
        <v>0.2815831645337553</v>
      </c>
      <c r="Z90" s="11"/>
      <c r="AA90" s="19" t="s">
        <v>89</v>
      </c>
    </row>
    <row r="91" spans="1:43" ht="28" customHeight="1">
      <c r="A91" s="3"/>
      <c r="T91" s="6">
        <v>6</v>
      </c>
      <c r="U91" s="17">
        <f>INDEX(step_05_paired_output,4,1)</f>
        <v>-1.7709233209283959</v>
      </c>
      <c r="V91" s="7">
        <f>INDEX(step_05_paired_output,4,2)</f>
        <v>0.05041489524337606</v>
      </c>
      <c r="W91" s="7">
        <f>INDEX(step_05_paired_output,4,3)</f>
        <v>1.4743888446456164</v>
      </c>
      <c r="X91" s="7">
        <f>INDEX(step_05_paired_output,4,4)</f>
        <v>1.7974485951587575</v>
      </c>
      <c r="Y91" s="18">
        <f>INDEX(step_05_paired_output,4,5)</f>
        <v>-0.38169957555213996</v>
      </c>
      <c r="Z91" s="11"/>
    </row>
    <row r="92" spans="1:43" ht="28" customHeight="1">
      <c r="A92" s="3"/>
      <c r="T92" s="6">
        <v>7</v>
      </c>
      <c r="U92" s="20">
        <f>INDEX(step_05_paired_output,8,1)</f>
        <v>-1.9214174065074696</v>
      </c>
      <c r="V92" s="21">
        <f>INDEX(step_05_paired_output,8,2)</f>
        <v>-0.16233580474911166</v>
      </c>
      <c r="W92" s="21">
        <f>INDEX(step_05_paired_output,8,3)</f>
        <v>-1.113472233638649</v>
      </c>
      <c r="X92" s="21">
        <f>INDEX(step_05_paired_output,8,4)</f>
        <v>-1.7740360039502787</v>
      </c>
      <c r="Y92" s="22">
        <f>INDEX(step_05_paired_output,8,5)</f>
        <v>0.7592480227156224</v>
      </c>
      <c r="Z92" s="9" t="s">
        <v>6</v>
      </c>
    </row>
    <row r="93" spans="1:43" ht="28" customHeight="1">
      <c r="A93" s="3"/>
    </row>
    <row r="94" spans="1:43" ht="28" customHeight="1">
      <c r="A94" s="3"/>
      <c r="B94" s="2" t="s">
        <v>20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ht="28" customHeight="1">
      <c r="A95" s="3" t="s">
        <v>164</v>
      </c>
      <c r="O95" s="4" t="s">
        <v>104</v>
      </c>
      <c r="P95" s="4"/>
      <c r="Q95" s="4"/>
      <c r="R95" s="4"/>
      <c r="U95" s="4" t="s">
        <v>105</v>
      </c>
      <c r="V95" s="4"/>
      <c r="W95" s="4"/>
      <c r="X95" s="4"/>
      <c r="Y95" s="4"/>
    </row>
    <row r="96" spans="1:43" ht="28" customHeight="1">
      <c r="A96" s="3"/>
      <c r="O96" s="5">
        <v>0</v>
      </c>
      <c r="P96" s="5">
        <v>1</v>
      </c>
      <c r="Q96" s="5">
        <v>2</v>
      </c>
      <c r="R96" s="5">
        <v>3</v>
      </c>
      <c r="U96" s="5">
        <v>0</v>
      </c>
      <c r="V96" s="5">
        <v>1</v>
      </c>
      <c r="W96" s="5">
        <v>2</v>
      </c>
      <c r="X96" s="5">
        <v>3</v>
      </c>
      <c r="Y96" s="5">
        <v>4</v>
      </c>
    </row>
    <row r="97" spans="1:43" ht="28" customHeight="1">
      <c r="A97" s="3"/>
      <c r="N97" s="6">
        <v>0</v>
      </c>
      <c r="O97" s="14">
        <v>-0.092553</v>
      </c>
      <c r="P97" s="15">
        <v>0.907632</v>
      </c>
      <c r="Q97" s="15">
        <v>0.751706</v>
      </c>
      <c r="R97" s="16">
        <v>-0.473222</v>
      </c>
      <c r="T97" s="6">
        <v>0</v>
      </c>
      <c r="U97" s="14" cm="1">
        <f t="array" ref="U97">MMULT(step_06_weight_v1,step_03_output)</f>
        <v>0</v>
      </c>
      <c r="V97" s="15"/>
      <c r="W97" s="15"/>
      <c r="X97" s="15"/>
      <c r="Y97" s="16"/>
      <c r="Z97" s="9" t="s">
        <v>4</v>
      </c>
      <c r="AC97" s="10" t="s">
        <v>21</v>
      </c>
    </row>
    <row r="98" spans="1:43" ht="28" customHeight="1">
      <c r="A98" s="3"/>
      <c r="N98" s="6">
        <v>1</v>
      </c>
      <c r="O98" s="17">
        <v>0.001172</v>
      </c>
      <c r="P98" s="7">
        <v>-0.642696</v>
      </c>
      <c r="Q98" s="7">
        <v>0.825256</v>
      </c>
      <c r="R98" s="18">
        <v>0.7410369999999999</v>
      </c>
      <c r="T98" s="6">
        <v>1</v>
      </c>
      <c r="U98" s="17"/>
      <c r="V98" s="7"/>
      <c r="W98" s="7"/>
      <c r="X98" s="7"/>
      <c r="Y98" s="18"/>
      <c r="Z98" s="11" t="s">
        <v>16</v>
      </c>
      <c r="AA98" s="19" t="s">
        <v>106</v>
      </c>
      <c r="AC98" s="10" t="s">
        <v>22</v>
      </c>
    </row>
    <row r="99" spans="1:43" ht="28" customHeight="1">
      <c r="A99" s="3"/>
      <c r="N99" s="6">
        <v>2</v>
      </c>
      <c r="O99" s="17">
        <v>-0.40311</v>
      </c>
      <c r="P99" s="7">
        <v>0.277899</v>
      </c>
      <c r="Q99" s="7">
        <v>0.21794</v>
      </c>
      <c r="R99" s="18">
        <v>-0.694321</v>
      </c>
      <c r="T99" s="6">
        <v>2</v>
      </c>
      <c r="U99" s="17"/>
      <c r="V99" s="7"/>
      <c r="W99" s="7"/>
      <c r="X99" s="7"/>
      <c r="Y99" s="18"/>
      <c r="Z99" s="11"/>
    </row>
    <row r="100" spans="1:43" ht="28" customHeight="1">
      <c r="A100" s="3"/>
      <c r="N100" s="6">
        <v>3</v>
      </c>
      <c r="O100" s="20">
        <v>0.525022</v>
      </c>
      <c r="P100" s="21">
        <v>0.07875799999999999</v>
      </c>
      <c r="Q100" s="21">
        <v>0.557253</v>
      </c>
      <c r="R100" s="22">
        <v>0.060707</v>
      </c>
      <c r="T100" s="6">
        <v>3</v>
      </c>
      <c r="U100" s="20"/>
      <c r="V100" s="21"/>
      <c r="W100" s="21"/>
      <c r="X100" s="21"/>
      <c r="Y100" s="22"/>
      <c r="Z100" s="11"/>
    </row>
    <row r="101" spans="1:43" ht="28" customHeight="1">
      <c r="A101" s="3"/>
      <c r="N101" s="6">
        <v>4</v>
      </c>
      <c r="O101" s="14">
        <v>-0.998856</v>
      </c>
      <c r="P101" s="15">
        <v>-0.351688</v>
      </c>
      <c r="Q101" s="15">
        <v>-0.961047</v>
      </c>
      <c r="R101" s="16">
        <v>0.858197</v>
      </c>
      <c r="S101" s="12" t="s">
        <v>80</v>
      </c>
      <c r="T101" s="6">
        <v>4</v>
      </c>
      <c r="U101" s="14" cm="1">
        <f t="array" ref="U101">MMULT(step_06_weight_v2,step_03_output)</f>
        <v>0</v>
      </c>
      <c r="V101" s="15"/>
      <c r="W101" s="15"/>
      <c r="X101" s="15"/>
      <c r="Y101" s="16"/>
      <c r="Z101" s="11"/>
    </row>
    <row r="102" spans="1:43" ht="28" customHeight="1">
      <c r="A102" s="3"/>
      <c r="N102" s="6">
        <v>5</v>
      </c>
      <c r="O102" s="17">
        <v>0.757444</v>
      </c>
      <c r="P102" s="7">
        <v>0.663331</v>
      </c>
      <c r="Q102" s="7">
        <v>-0.384972</v>
      </c>
      <c r="R102" s="18">
        <v>-0.88415</v>
      </c>
      <c r="T102" s="6">
        <v>5</v>
      </c>
      <c r="U102" s="17"/>
      <c r="V102" s="7"/>
      <c r="W102" s="7"/>
      <c r="X102" s="7"/>
      <c r="Y102" s="18"/>
      <c r="Z102" s="11"/>
      <c r="AA102" s="19" t="s">
        <v>107</v>
      </c>
    </row>
    <row r="103" spans="1:43" ht="28" customHeight="1">
      <c r="A103" s="3"/>
      <c r="N103" s="6">
        <v>6</v>
      </c>
      <c r="O103" s="17">
        <v>0.756019</v>
      </c>
      <c r="P103" s="7">
        <v>0.893899</v>
      </c>
      <c r="Q103" s="7">
        <v>-0.828693</v>
      </c>
      <c r="R103" s="18">
        <v>-0.028019</v>
      </c>
      <c r="T103" s="6">
        <v>6</v>
      </c>
      <c r="U103" s="17"/>
      <c r="V103" s="7"/>
      <c r="W103" s="7"/>
      <c r="X103" s="7"/>
      <c r="Y103" s="18"/>
      <c r="Z103" s="11"/>
    </row>
    <row r="104" spans="1:43" ht="28" customHeight="1">
      <c r="A104" s="3"/>
      <c r="N104" s="6">
        <v>7</v>
      </c>
      <c r="O104" s="20">
        <v>-0.861575</v>
      </c>
      <c r="P104" s="21">
        <v>0.521204</v>
      </c>
      <c r="Q104" s="21">
        <v>0.5316689999999999</v>
      </c>
      <c r="R104" s="22">
        <v>-0.743217</v>
      </c>
      <c r="T104" s="6">
        <v>7</v>
      </c>
      <c r="U104" s="20"/>
      <c r="V104" s="21"/>
      <c r="W104" s="21"/>
      <c r="X104" s="21"/>
      <c r="Y104" s="22"/>
      <c r="Z104" s="9" t="s">
        <v>6</v>
      </c>
    </row>
    <row r="105" spans="1:43" ht="28" customHeight="1">
      <c r="A105" s="3"/>
    </row>
    <row r="106" spans="1:43" ht="28" customHeight="1">
      <c r="A106" s="3"/>
      <c r="B106" s="2" t="s">
        <v>23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ht="28" customHeight="1">
      <c r="A107" s="3" t="s">
        <v>165</v>
      </c>
      <c r="O107" s="4" t="s">
        <v>108</v>
      </c>
      <c r="P107" s="4"/>
      <c r="Q107" s="4"/>
      <c r="R107" s="4"/>
      <c r="U107" s="4" t="s">
        <v>109</v>
      </c>
      <c r="V107" s="4"/>
      <c r="W107" s="4"/>
      <c r="X107" s="4"/>
      <c r="Y107" s="4"/>
    </row>
    <row r="108" spans="1:43" ht="28" customHeight="1">
      <c r="A108" s="3"/>
      <c r="O108" s="5">
        <v>0</v>
      </c>
      <c r="P108" s="5">
        <v>1</v>
      </c>
      <c r="Q108" s="5">
        <v>2</v>
      </c>
      <c r="R108" s="5">
        <v>3</v>
      </c>
      <c r="U108" s="5">
        <v>0</v>
      </c>
      <c r="V108" s="5">
        <v>1</v>
      </c>
      <c r="W108" s="5">
        <v>2</v>
      </c>
      <c r="X108" s="5">
        <v>3</v>
      </c>
      <c r="Y108" s="5">
        <v>4</v>
      </c>
    </row>
    <row r="109" spans="1:43" ht="28" customHeight="1">
      <c r="A109" s="3"/>
      <c r="N109" s="6">
        <v>0</v>
      </c>
      <c r="O109" s="14">
        <v>-0.049435</v>
      </c>
      <c r="P109" s="15">
        <v>0.099607</v>
      </c>
      <c r="Q109" s="15">
        <v>-0.469887</v>
      </c>
      <c r="R109" s="16">
        <v>0.744866</v>
      </c>
      <c r="T109" s="6">
        <v>0</v>
      </c>
      <c r="U109" s="14" cm="1">
        <f t="array" ref="U109">MMULT(step_07_weight_q1,step_03_output)</f>
        <v>0</v>
      </c>
      <c r="V109" s="15"/>
      <c r="W109" s="15"/>
      <c r="X109" s="15"/>
      <c r="Y109" s="16"/>
      <c r="Z109" s="9" t="s">
        <v>4</v>
      </c>
      <c r="AC109" s="10" t="s">
        <v>24</v>
      </c>
    </row>
    <row r="110" spans="1:43" ht="28" customHeight="1">
      <c r="A110" s="3"/>
      <c r="N110" s="6">
        <v>1</v>
      </c>
      <c r="O110" s="17">
        <v>-0.153724</v>
      </c>
      <c r="P110" s="7">
        <v>-0.576404</v>
      </c>
      <c r="Q110" s="7">
        <v>0.078592</v>
      </c>
      <c r="R110" s="18">
        <v>0.459862</v>
      </c>
      <c r="T110" s="6">
        <v>1</v>
      </c>
      <c r="U110" s="17"/>
      <c r="V110" s="7"/>
      <c r="W110" s="7"/>
      <c r="X110" s="7"/>
      <c r="Y110" s="18"/>
      <c r="Z110" s="11" t="s">
        <v>5</v>
      </c>
      <c r="AA110" s="25" t="s">
        <v>110</v>
      </c>
      <c r="AC110" s="10" t="s">
        <v>25</v>
      </c>
    </row>
    <row r="111" spans="1:43" ht="28" customHeight="1">
      <c r="A111" s="3"/>
      <c r="N111" s="6">
        <v>2</v>
      </c>
      <c r="O111" s="17">
        <v>-0.597698</v>
      </c>
      <c r="P111" s="7">
        <v>-0.376567</v>
      </c>
      <c r="Q111" s="7">
        <v>0.990299</v>
      </c>
      <c r="R111" s="18">
        <v>0.299756</v>
      </c>
      <c r="T111" s="6">
        <v>2</v>
      </c>
      <c r="U111" s="17"/>
      <c r="V111" s="7"/>
      <c r="W111" s="7"/>
      <c r="X111" s="7"/>
      <c r="Y111" s="18"/>
      <c r="Z111" s="11"/>
      <c r="AC111" s="10" t="s">
        <v>26</v>
      </c>
    </row>
    <row r="112" spans="1:43" ht="28" customHeight="1">
      <c r="A112" s="3"/>
      <c r="N112" s="6">
        <v>3</v>
      </c>
      <c r="O112" s="20">
        <v>-0.1238</v>
      </c>
      <c r="P112" s="21">
        <v>0.035152</v>
      </c>
      <c r="Q112" s="21">
        <v>-0.757992</v>
      </c>
      <c r="R112" s="22">
        <v>-0.550605</v>
      </c>
      <c r="T112" s="6">
        <v>3</v>
      </c>
      <c r="U112" s="20"/>
      <c r="V112" s="21"/>
      <c r="W112" s="21"/>
      <c r="X112" s="21"/>
      <c r="Y112" s="22"/>
      <c r="Z112" s="11"/>
      <c r="AC112" s="10" t="s">
        <v>27</v>
      </c>
    </row>
    <row r="113" spans="1:43" ht="28" customHeight="1">
      <c r="A113" s="3"/>
      <c r="N113" s="6">
        <v>4</v>
      </c>
      <c r="O113" s="14">
        <v>-0.323829</v>
      </c>
      <c r="P113" s="15">
        <v>0.176617</v>
      </c>
      <c r="Q113" s="15">
        <v>-0.539771</v>
      </c>
      <c r="R113" s="16">
        <v>-0.559565</v>
      </c>
      <c r="T113" s="6">
        <v>4</v>
      </c>
      <c r="U113" s="14" cm="1">
        <f t="array" ref="U113">MMULT(step_07_weight_q2,step_03_output)</f>
        <v>0</v>
      </c>
      <c r="V113" s="15"/>
      <c r="W113" s="15"/>
      <c r="X113" s="15"/>
      <c r="Y113" s="16"/>
      <c r="Z113" s="11"/>
    </row>
    <row r="114" spans="1:43" ht="28" customHeight="1">
      <c r="A114" s="3"/>
      <c r="N114" s="6">
        <v>5</v>
      </c>
      <c r="O114" s="17">
        <v>-0.8580140000000001</v>
      </c>
      <c r="P114" s="7">
        <v>0.262206</v>
      </c>
      <c r="Q114" s="7">
        <v>-0.542116</v>
      </c>
      <c r="R114" s="18">
        <v>0.81084</v>
      </c>
      <c r="T114" s="6">
        <v>5</v>
      </c>
      <c r="U114" s="17"/>
      <c r="V114" s="7"/>
      <c r="W114" s="7"/>
      <c r="X114" s="7"/>
      <c r="Y114" s="18"/>
      <c r="Z114" s="11"/>
      <c r="AA114" s="25" t="s">
        <v>111</v>
      </c>
    </row>
    <row r="115" spans="1:43" ht="28" customHeight="1">
      <c r="A115" s="3"/>
      <c r="N115" s="6">
        <v>6</v>
      </c>
      <c r="O115" s="17">
        <v>0.719271</v>
      </c>
      <c r="P115" s="7">
        <v>-0.858285</v>
      </c>
      <c r="Q115" s="7">
        <v>-0.523991</v>
      </c>
      <c r="R115" s="18">
        <v>0.337956</v>
      </c>
      <c r="T115" s="6">
        <v>6</v>
      </c>
      <c r="U115" s="17"/>
      <c r="V115" s="7"/>
      <c r="W115" s="7"/>
      <c r="X115" s="7"/>
      <c r="Y115" s="18"/>
      <c r="Z115" s="11"/>
    </row>
    <row r="116" spans="1:43" ht="28" customHeight="1">
      <c r="A116" s="3"/>
      <c r="N116" s="6">
        <v>7</v>
      </c>
      <c r="O116" s="26">
        <v>-0.571526</v>
      </c>
      <c r="P116" s="27">
        <v>-0.735376</v>
      </c>
      <c r="Q116" s="27">
        <v>0.871028</v>
      </c>
      <c r="R116" s="28">
        <v>0.142086</v>
      </c>
      <c r="T116" s="6">
        <v>7</v>
      </c>
      <c r="U116" s="26"/>
      <c r="V116" s="27"/>
      <c r="W116" s="27"/>
      <c r="X116" s="27"/>
      <c r="Y116" s="28"/>
      <c r="Z116" s="11"/>
    </row>
    <row r="117" spans="1:43" ht="28" customHeight="1">
      <c r="A117" s="3"/>
      <c r="N117" s="6">
        <v>8</v>
      </c>
      <c r="O117" s="14">
        <v>-0.054658</v>
      </c>
      <c r="P117" s="15">
        <v>0.5692390000000001</v>
      </c>
      <c r="Q117" s="15">
        <v>0.614994</v>
      </c>
      <c r="R117" s="16">
        <v>-0.61918</v>
      </c>
      <c r="S117" s="12" t="s">
        <v>80</v>
      </c>
      <c r="T117" s="6">
        <v>8</v>
      </c>
      <c r="U117" s="14" cm="1">
        <f t="array" ref="U117">MMULT(step_07_weight_q3,step_03_output)</f>
        <v>0</v>
      </c>
      <c r="V117" s="15"/>
      <c r="W117" s="15"/>
      <c r="X117" s="15"/>
      <c r="Y117" s="16"/>
      <c r="Z117" s="11"/>
    </row>
    <row r="118" spans="1:43" ht="28" customHeight="1">
      <c r="A118" s="3"/>
      <c r="N118" s="6">
        <v>9</v>
      </c>
      <c r="O118" s="17">
        <v>-0.806138</v>
      </c>
      <c r="P118" s="7">
        <v>-0.137898</v>
      </c>
      <c r="Q118" s="7">
        <v>-0.152843</v>
      </c>
      <c r="R118" s="18">
        <v>-0.065951</v>
      </c>
      <c r="T118" s="6">
        <v>9</v>
      </c>
      <c r="U118" s="17"/>
      <c r="V118" s="7"/>
      <c r="W118" s="7"/>
      <c r="X118" s="7"/>
      <c r="Y118" s="18"/>
      <c r="Z118" s="11"/>
      <c r="AA118" s="25" t="s">
        <v>112</v>
      </c>
    </row>
    <row r="119" spans="1:43" ht="28" customHeight="1">
      <c r="A119" s="3"/>
      <c r="N119" s="6">
        <v>10</v>
      </c>
      <c r="O119" s="17">
        <v>0.458152</v>
      </c>
      <c r="P119" s="7">
        <v>0.346729</v>
      </c>
      <c r="Q119" s="7">
        <v>0.96833</v>
      </c>
      <c r="R119" s="18">
        <v>-0.803164</v>
      </c>
      <c r="T119" s="6">
        <v>10</v>
      </c>
      <c r="U119" s="17"/>
      <c r="V119" s="7"/>
      <c r="W119" s="7"/>
      <c r="X119" s="7"/>
      <c r="Y119" s="18"/>
      <c r="Z119" s="11"/>
    </row>
    <row r="120" spans="1:43" ht="28" customHeight="1">
      <c r="A120" s="3"/>
      <c r="N120" s="6">
        <v>11</v>
      </c>
      <c r="O120" s="20">
        <v>-0.194757</v>
      </c>
      <c r="P120" s="21">
        <v>-0.321395</v>
      </c>
      <c r="Q120" s="21">
        <v>0.723345</v>
      </c>
      <c r="R120" s="22">
        <v>-0.502687</v>
      </c>
      <c r="T120" s="6">
        <v>11</v>
      </c>
      <c r="U120" s="20"/>
      <c r="V120" s="21"/>
      <c r="W120" s="21"/>
      <c r="X120" s="21"/>
      <c r="Y120" s="22"/>
      <c r="Z120" s="11"/>
    </row>
    <row r="121" spans="1:43" ht="28" customHeight="1">
      <c r="A121" s="3"/>
      <c r="N121" s="6">
        <v>12</v>
      </c>
      <c r="O121" s="14">
        <v>-0.619582</v>
      </c>
      <c r="P121" s="15">
        <v>-0.102773</v>
      </c>
      <c r="Q121" s="15">
        <v>-0.156237</v>
      </c>
      <c r="R121" s="16">
        <v>-0.44291</v>
      </c>
      <c r="T121" s="6">
        <v>12</v>
      </c>
      <c r="U121" s="14" cm="1">
        <f t="array" ref="U121">MMULT(step_07_weight_q4,step_03_output)</f>
        <v>0</v>
      </c>
      <c r="V121" s="15"/>
      <c r="W121" s="15"/>
      <c r="X121" s="15"/>
      <c r="Y121" s="16"/>
      <c r="Z121" s="11"/>
    </row>
    <row r="122" spans="1:43" ht="28" customHeight="1">
      <c r="A122" s="3"/>
      <c r="N122" s="6">
        <v>13</v>
      </c>
      <c r="O122" s="17">
        <v>-0.500387</v>
      </c>
      <c r="P122" s="7">
        <v>0.846531</v>
      </c>
      <c r="Q122" s="7">
        <v>-0.113739</v>
      </c>
      <c r="R122" s="18">
        <v>0.722698</v>
      </c>
      <c r="T122" s="6">
        <v>13</v>
      </c>
      <c r="U122" s="17"/>
      <c r="V122" s="7"/>
      <c r="W122" s="7"/>
      <c r="X122" s="7"/>
      <c r="Y122" s="18"/>
      <c r="Z122" s="11"/>
      <c r="AA122" s="25" t="s">
        <v>113</v>
      </c>
    </row>
    <row r="123" spans="1:43" ht="28" customHeight="1">
      <c r="A123" s="3"/>
      <c r="N123" s="6">
        <v>14</v>
      </c>
      <c r="O123" s="17">
        <v>0.100651</v>
      </c>
      <c r="P123" s="7">
        <v>-0.898823</v>
      </c>
      <c r="Q123" s="7">
        <v>0.998565</v>
      </c>
      <c r="R123" s="18">
        <v>0.672055</v>
      </c>
      <c r="T123" s="6">
        <v>14</v>
      </c>
      <c r="U123" s="17"/>
      <c r="V123" s="7"/>
      <c r="W123" s="7"/>
      <c r="X123" s="7"/>
      <c r="Y123" s="18"/>
      <c r="Z123" s="11"/>
    </row>
    <row r="124" spans="1:43" ht="28" customHeight="1">
      <c r="A124" s="3"/>
      <c r="N124" s="6">
        <v>15</v>
      </c>
      <c r="O124" s="20">
        <v>0.937993</v>
      </c>
      <c r="P124" s="21">
        <v>0.852734</v>
      </c>
      <c r="Q124" s="21">
        <v>0.697391</v>
      </c>
      <c r="R124" s="22">
        <v>-0.667378</v>
      </c>
      <c r="T124" s="6">
        <v>15</v>
      </c>
      <c r="U124" s="20"/>
      <c r="V124" s="21"/>
      <c r="W124" s="21"/>
      <c r="X124" s="21"/>
      <c r="Y124" s="22"/>
      <c r="Z124" s="9" t="s">
        <v>6</v>
      </c>
    </row>
    <row r="125" spans="1:43" ht="28" customHeight="1">
      <c r="A125" s="3"/>
      <c r="W125" s="8" t="s">
        <v>6</v>
      </c>
    </row>
    <row r="126" spans="1:43" ht="28" customHeight="1">
      <c r="A126" s="3"/>
      <c r="B126" s="2" t="s">
        <v>28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ht="28" customHeight="1">
      <c r="A127" s="3" t="s">
        <v>166</v>
      </c>
      <c r="U127" s="4" t="s">
        <v>114</v>
      </c>
      <c r="V127" s="4"/>
      <c r="W127" s="4"/>
      <c r="X127" s="4"/>
      <c r="Y127" s="4"/>
    </row>
    <row r="128" spans="1:43" ht="28" customHeight="1">
      <c r="A128" s="3"/>
      <c r="U128" s="5">
        <v>0</v>
      </c>
      <c r="V128" s="5">
        <v>1</v>
      </c>
      <c r="W128" s="5">
        <v>2</v>
      </c>
      <c r="X128" s="5">
        <v>3</v>
      </c>
      <c r="Y128" s="5">
        <v>4</v>
      </c>
    </row>
    <row r="129" spans="1:25" ht="28" customHeight="1">
      <c r="A129" s="3"/>
      <c r="T129" s="6">
        <v>0</v>
      </c>
      <c r="U129" s="7">
        <f>INDEX(step_08_input,1,1)</f>
        <v>-0.39966340980495774</v>
      </c>
      <c r="V129" s="7">
        <f>INDEX(step_08_input,1,2)</f>
        <v>1.210685196235266</v>
      </c>
      <c r="W129" s="7">
        <f>INDEX(step_08_input,1,3)</f>
        <v>0.6609956109982258</v>
      </c>
      <c r="X129" s="7">
        <f>INDEX(step_08_input,1,4)</f>
        <v>0.1594803977465868</v>
      </c>
      <c r="Y129" s="7">
        <f>INDEX(step_08_input,1,5)</f>
        <v>1.4322588999799384</v>
      </c>
    </row>
    <row r="130" spans="1:25" ht="28" customHeight="1">
      <c r="A130" s="3"/>
      <c r="T130" s="6">
        <v>2</v>
      </c>
      <c r="U130" s="7">
        <f>INDEX(step_08_input,3,1)</f>
        <v>-0.3168852073093944</v>
      </c>
      <c r="V130" s="7">
        <f>INDEX(step_08_input,3,2)</f>
        <v>-0.3375348870321903</v>
      </c>
      <c r="W130" s="7">
        <f>INDEX(step_08_input,3,3)</f>
        <v>-0.9582480433434611</v>
      </c>
      <c r="X130" s="7">
        <f>INDEX(step_08_input,3,4)</f>
        <v>0.16104778842615133</v>
      </c>
      <c r="Y130" s="7">
        <f>INDEX(step_08_input,3,5)</f>
        <v>-1.2775133076772176</v>
      </c>
    </row>
    <row r="131" spans="1:25" ht="28" customHeight="1">
      <c r="A131" s="3"/>
      <c r="T131" s="6">
        <v>4</v>
      </c>
      <c r="U131" s="7">
        <f>INDEX(step_08_input,5,1)</f>
        <v>-1.4714524342206652</v>
      </c>
      <c r="V131" s="7">
        <f>INDEX(step_08_input,5,2)</f>
        <v>-0.7238656727810625</v>
      </c>
      <c r="W131" s="7">
        <f>INDEX(step_08_input,5,3)</f>
        <v>-1.2840646423287039</v>
      </c>
      <c r="X131" s="7">
        <f>INDEX(step_08_input,5,4)</f>
        <v>-1.660164883078262</v>
      </c>
      <c r="Y131" s="7">
        <f>INDEX(step_08_input,5,5)</f>
        <v>-0.03618308497317248</v>
      </c>
    </row>
    <row r="132" spans="1:25" ht="28" customHeight="1">
      <c r="A132" s="3"/>
      <c r="T132" s="6">
        <v>6</v>
      </c>
      <c r="U132" s="7">
        <f>INDEX(step_08_input,7,1)</f>
        <v>1.0080810655900136</v>
      </c>
      <c r="V132" s="7">
        <f>INDEX(step_08_input,7,2)</f>
        <v>2.032246823476388</v>
      </c>
      <c r="W132" s="7">
        <f>INDEX(step_08_input,7,3)</f>
        <v>1.485138876006345</v>
      </c>
      <c r="X132" s="7">
        <f>INDEX(step_08_input,7,4)</f>
        <v>1.8029980412463713</v>
      </c>
      <c r="Y132" s="7">
        <f>INDEX(step_08_input,7,5)</f>
        <v>0.37224831294653477</v>
      </c>
    </row>
    <row r="133" spans="1:25" ht="28" customHeight="1">
      <c r="A133" s="3"/>
      <c r="T133" s="6">
        <v>8</v>
      </c>
      <c r="U133" s="7">
        <f>INDEX(step_08_input,9,1)</f>
        <v>0.5061759239843081</v>
      </c>
      <c r="V133" s="7">
        <f>INDEX(step_08_input,9,2)</f>
        <v>-1.8039243175640975</v>
      </c>
      <c r="W133" s="7">
        <f>INDEX(step_08_input,9,3)</f>
        <v>-0.4744378860123888</v>
      </c>
      <c r="X133" s="7">
        <f>INDEX(step_08_input,9,4)</f>
        <v>-0.5514727712248908</v>
      </c>
      <c r="Y133" s="7">
        <f>INDEX(step_08_input,9,5)</f>
        <v>-0.8245285408578686</v>
      </c>
    </row>
    <row r="134" spans="1:25" ht="28" customHeight="1">
      <c r="A134" s="3"/>
      <c r="T134" s="6">
        <v>10</v>
      </c>
      <c r="U134" s="7">
        <f>INDEX(step_08_input,11,1)</f>
        <v>1.9955900643914872</v>
      </c>
      <c r="V134" s="7">
        <f>INDEX(step_08_input,11,2)</f>
        <v>-1.7847672103124752</v>
      </c>
      <c r="W134" s="7">
        <f>INDEX(step_08_input,11,3)</f>
        <v>0.37836229112626085</v>
      </c>
      <c r="X134" s="7">
        <f>INDEX(step_08_input,11,4)</f>
        <v>0.6658876422413089</v>
      </c>
      <c r="Y134" s="7">
        <f>INDEX(step_08_input,11,5)</f>
        <v>-1.4298546423491998</v>
      </c>
    </row>
    <row r="135" spans="1:25" ht="28" customHeight="1">
      <c r="A135" s="3"/>
      <c r="T135" s="6">
        <v>12</v>
      </c>
      <c r="U135" s="7">
        <f>INDEX(step_08_input,13,1)</f>
        <v>-1.7760643617388436</v>
      </c>
      <c r="V135" s="7">
        <f>INDEX(step_08_input,13,2)</f>
        <v>-0.7751317988897158</v>
      </c>
      <c r="W135" s="7">
        <f>INDEX(step_08_input,13,3)</f>
        <v>-1.8413889008769644</v>
      </c>
      <c r="X135" s="7">
        <f>INDEX(step_08_input,13,4)</f>
        <v>-1.6338904584295277</v>
      </c>
      <c r="Y135" s="7">
        <f>INDEX(step_08_input,13,5)</f>
        <v>-0.6848308770017015</v>
      </c>
    </row>
    <row r="136" spans="1:25" ht="28" customHeight="1">
      <c r="A136" s="3"/>
      <c r="T136" s="6">
        <v>14</v>
      </c>
      <c r="U136" s="7">
        <f>INDEX(step_08_input,15,1)</f>
        <v>1.3157962091006326</v>
      </c>
      <c r="V136" s="7">
        <f>INDEX(step_08_input,15,2)</f>
        <v>1.0519334796948783</v>
      </c>
      <c r="W136" s="7">
        <f>INDEX(step_08_input,15,3)</f>
        <v>0.7176864215885389</v>
      </c>
      <c r="X136" s="7">
        <f>INDEX(step_08_input,15,4)</f>
        <v>2.159629692519123</v>
      </c>
      <c r="Y136" s="7">
        <f>INDEX(step_08_input,15,5)</f>
        <v>-1.1003591296570072</v>
      </c>
    </row>
    <row r="137" spans="1:25" ht="28" customHeight="1">
      <c r="A137" s="3"/>
      <c r="T137" s="6">
        <v>1</v>
      </c>
      <c r="U137" s="7">
        <f>INDEX(step_08_input,2,1)</f>
        <v>-0.27890655766590167</v>
      </c>
      <c r="V137" s="7">
        <f>INDEX(step_08_input,2,2)</f>
        <v>0.9760565191575341</v>
      </c>
      <c r="W137" s="7">
        <f>INDEX(step_08_input,2,3)</f>
        <v>-0.04600809004074989</v>
      </c>
      <c r="X137" s="7">
        <f>INDEX(step_08_input,2,4)</f>
        <v>0.55935102036533</v>
      </c>
      <c r="Y137" s="7">
        <f>INDEX(step_08_input,2,5)</f>
        <v>-0.16887707108195374</v>
      </c>
    </row>
    <row r="138" spans="1:25" ht="28" customHeight="1">
      <c r="A138" s="3"/>
      <c r="T138" s="6">
        <v>3</v>
      </c>
      <c r="U138" s="7">
        <f>INDEX(step_08_input,4,1)</f>
        <v>-1.2722621448734763</v>
      </c>
      <c r="V138" s="7">
        <f>INDEX(step_08_input,4,2)</f>
        <v>-0.30740433773407716</v>
      </c>
      <c r="W138" s="7">
        <f>INDEX(step_08_input,4,3)</f>
        <v>-0.9339845189076332</v>
      </c>
      <c r="X138" s="7">
        <f>INDEX(step_08_input,4,4)</f>
        <v>-1.3553074428766352</v>
      </c>
      <c r="Y138" s="7">
        <f>INDEX(step_08_input,4,5)</f>
        <v>0.13914795221989296</v>
      </c>
    </row>
    <row r="139" spans="1:25" ht="28" customHeight="1">
      <c r="A139" s="3"/>
      <c r="T139" s="6">
        <v>5</v>
      </c>
      <c r="U139" s="7">
        <f>INDEX(step_08_input,6,1)</f>
        <v>-2.3216067933697055</v>
      </c>
      <c r="V139" s="7">
        <f>INDEX(step_08_input,6,2)</f>
        <v>0.7039723813194257</v>
      </c>
      <c r="W139" s="7">
        <f>INDEX(step_08_input,6,3)</f>
        <v>-0.9284134791143097</v>
      </c>
      <c r="X139" s="7">
        <f>INDEX(step_08_input,6,4)</f>
        <v>-1.4666308973214348</v>
      </c>
      <c r="Y139" s="7">
        <f>INDEX(step_08_input,6,5)</f>
        <v>1.4376496474551426</v>
      </c>
    </row>
    <row r="140" spans="1:25" ht="28" customHeight="1">
      <c r="A140" s="3"/>
      <c r="T140" s="6">
        <v>7</v>
      </c>
      <c r="U140" s="7">
        <f>INDEX(step_08_input,8,1)</f>
        <v>-0.5147834889456567</v>
      </c>
      <c r="V140" s="7">
        <f>INDEX(step_08_input,8,2)</f>
        <v>-0.12908239134544036</v>
      </c>
      <c r="W140" s="7">
        <f>INDEX(step_08_input,8,3)</f>
        <v>-1.2224159823577276</v>
      </c>
      <c r="X140" s="7">
        <f>INDEX(step_08_input,8,4)</f>
        <v>0.19999286184567266</v>
      </c>
      <c r="Y140" s="7">
        <f>INDEX(step_08_input,8,5)</f>
        <v>-1.6762114503668586</v>
      </c>
    </row>
    <row r="141" spans="1:25" ht="28" customHeight="1">
      <c r="A141" s="3"/>
      <c r="T141" s="6">
        <v>9</v>
      </c>
      <c r="U141" s="7">
        <f>INDEX(step_08_input,10,1)</f>
        <v>-2.1121779492070316</v>
      </c>
      <c r="V141" s="7">
        <f>INDEX(step_08_input,10,2)</f>
        <v>-0.35772719344866355</v>
      </c>
      <c r="W141" s="7">
        <f>INDEX(step_08_input,10,3)</f>
        <v>-1.8491783808083517</v>
      </c>
      <c r="X141" s="7">
        <f>INDEX(step_08_input,10,4)</f>
        <v>-1.6150730016054884</v>
      </c>
      <c r="Y141" s="7">
        <f>INDEX(step_08_input,10,5)</f>
        <v>-0.3558119756937564</v>
      </c>
    </row>
    <row r="142" spans="1:25" ht="28" customHeight="1">
      <c r="A142" s="3"/>
      <c r="T142" s="6">
        <v>11</v>
      </c>
      <c r="U142" s="7">
        <f>INDEX(step_08_input,12,1)</f>
        <v>0.12185585917732876</v>
      </c>
      <c r="V142" s="7">
        <f>INDEX(step_08_input,12,2)</f>
        <v>-1.0209238440553756</v>
      </c>
      <c r="W142" s="7">
        <f>INDEX(step_08_input,12,3)</f>
        <v>-0.9714221609916635</v>
      </c>
      <c r="X142" s="7">
        <f>INDEX(step_08_input,12,4)</f>
        <v>-0.05898578614426134</v>
      </c>
      <c r="Y142" s="7">
        <f>INDEX(step_08_input,12,5)</f>
        <v>-1.7240798229215206</v>
      </c>
    </row>
    <row r="143" spans="1:25" ht="28" customHeight="1">
      <c r="A143" s="3"/>
      <c r="T143" s="6">
        <v>13</v>
      </c>
      <c r="U143" s="7">
        <f>INDEX(step_08_input,14,1)</f>
        <v>-0.8990651173528141</v>
      </c>
      <c r="V143" s="7">
        <f>INDEX(step_08_input,14,2)</f>
        <v>-0.014610469574369844</v>
      </c>
      <c r="W143" s="7">
        <f>INDEX(step_08_input,14,3)</f>
        <v>0.01423361447744551</v>
      </c>
      <c r="X143" s="7">
        <f>INDEX(step_08_input,14,4)</f>
        <v>-0.9075900566703943</v>
      </c>
      <c r="Y143" s="7">
        <f>INDEX(step_08_input,14,5)</f>
        <v>1.5938209502458252</v>
      </c>
    </row>
    <row r="144" spans="1:25" ht="28" customHeight="1">
      <c r="A144" s="3"/>
      <c r="T144" s="6">
        <v>15</v>
      </c>
      <c r="U144" s="7">
        <f>INDEX(step_08_input,16,1)</f>
        <v>2.980526380151959</v>
      </c>
      <c r="V144" s="7">
        <f>INDEX(step_08_input,16,2)</f>
        <v>-1.562532455849764</v>
      </c>
      <c r="W144" s="7">
        <f>INDEX(step_08_input,16,3)</f>
        <v>1.6943649028953225</v>
      </c>
      <c r="X144" s="7">
        <f>INDEX(step_08_input,16,4)</f>
        <v>1.1634248677282792</v>
      </c>
      <c r="Y144" s="7">
        <f>INDEX(step_08_input,16,5)</f>
        <v>-0.315271518181414</v>
      </c>
    </row>
    <row r="145" spans="1:25" ht="28" customHeight="1">
      <c r="A145" s="3"/>
      <c r="W145" s="13" t="s">
        <v>6</v>
      </c>
    </row>
    <row r="146" spans="1:25" ht="28" customHeight="1">
      <c r="A146" s="3"/>
      <c r="E146" s="23" t="s">
        <v>90</v>
      </c>
      <c r="F146" s="23"/>
      <c r="G146" s="23"/>
      <c r="H146" s="23"/>
      <c r="I146" s="23"/>
      <c r="J146" s="23"/>
      <c r="K146" s="23"/>
      <c r="L146" s="23"/>
      <c r="U146" s="4" t="s">
        <v>102</v>
      </c>
      <c r="V146" s="4"/>
      <c r="W146" s="4"/>
      <c r="X146" s="4"/>
      <c r="Y146" s="4"/>
    </row>
    <row r="147" spans="1:25" ht="28" customHeight="1">
      <c r="A147" s="3"/>
      <c r="E147" s="24" t="s">
        <v>91</v>
      </c>
      <c r="F147" s="24"/>
      <c r="H147" s="24" t="s">
        <v>93</v>
      </c>
      <c r="I147" s="24"/>
      <c r="K147" s="24" t="s">
        <v>95</v>
      </c>
      <c r="L147" s="24"/>
      <c r="N147" s="24" t="s">
        <v>97</v>
      </c>
      <c r="O147" s="24"/>
      <c r="Q147" s="24" t="s">
        <v>99</v>
      </c>
      <c r="R147" s="24"/>
      <c r="U147" s="5">
        <v>0</v>
      </c>
      <c r="V147" s="5">
        <v>1</v>
      </c>
      <c r="W147" s="5">
        <v>2</v>
      </c>
      <c r="X147" s="5">
        <v>3</v>
      </c>
      <c r="Y147" s="5">
        <v>4</v>
      </c>
    </row>
    <row r="148" spans="1:25" ht="28" customHeight="1">
      <c r="A148" s="3"/>
      <c r="E148" s="7">
        <f>COS($U$147*POWER(step_08_rope_base,-2*0/step_08_proxy_head_dim))</f>
        <v>1.0</v>
      </c>
      <c r="F148" s="7">
        <f>-SIN($U$147*POWER(step_08_rope_base,-2*0/step_08_proxy_head_dim))</f>
        <v>-0.0</v>
      </c>
      <c r="H148" s="7">
        <f>COS($V$147*POWER(step_08_rope_base,-2*0/step_08_proxy_head_dim))</f>
        <v>0.5403023058681398</v>
      </c>
      <c r="I148" s="7">
        <f>-SIN($V$147*POWER(step_08_rope_base,-2*0/step_08_proxy_head_dim))</f>
        <v>-0.8414709848078965</v>
      </c>
      <c r="K148" s="7">
        <f>COS($W$147*POWER(step_08_rope_base,-2*0/step_08_proxy_head_dim))</f>
        <v>-0.4161468365471424</v>
      </c>
      <c r="L148" s="7">
        <f>-SIN($W$147*POWER(step_08_rope_base,-2*0/step_08_proxy_head_dim))</f>
        <v>-0.9092974268256817</v>
      </c>
      <c r="N148" s="7">
        <f>COS($X$147*POWER(step_08_rope_base,-2*0/step_08_proxy_head_dim))</f>
        <v>-0.9899924966004454</v>
      </c>
      <c r="O148" s="7">
        <f>-SIN($X$147*POWER(step_08_rope_base,-2*0/step_08_proxy_head_dim))</f>
        <v>-0.1411200080598672</v>
      </c>
      <c r="Q148" s="7">
        <f>COS($Y$147*POWER(step_08_rope_base,-2*0/step_08_proxy_head_dim))</f>
        <v>-0.6536436208636119</v>
      </c>
      <c r="R148" s="7">
        <f>-SIN($Y$147*POWER(step_08_rope_base,-2*0/step_08_proxy_head_dim))</f>
        <v>0.7568024953079283</v>
      </c>
      <c r="T148" s="6">
        <v>0</v>
      </c>
      <c r="U148" s="7" cm="1">
        <f t="array" ref="U148">MMULT(step_08_rotation_0_0,$U$129:$U$130)</f>
        <v>-0.39966340980495774</v>
      </c>
      <c r="V148" s="7" cm="1">
        <f t="array" ref="V148">MMULT(step_08_rotation_1_0,$V$129:$V$130)</f>
        <v>0.9381618170043349</v>
      </c>
      <c r="W148" s="7" cm="1">
        <f t="array" ref="W148">MMULT(step_08_rotation_2_0,$W$129:$W$130)</f>
        <v>0.5962612475844963</v>
      </c>
      <c r="X148" s="7" cm="1">
        <f t="array" ref="X148">MMULT(step_08_rotation_3_0,$X$129:$X$130)</f>
        <v>-0.18061146232469777</v>
      </c>
      <c r="Y148" s="7" cm="1">
        <f t="array" ref="Y148">MMULT(step_08_rotation_4_0,$Y$129:$Y$130)</f>
        <v>-1.9030121524362242</v>
      </c>
    </row>
    <row r="149" spans="1:25" ht="28" customHeight="1">
      <c r="A149" s="3"/>
      <c r="E149" s="7">
        <f>SIN($U$147*POWER(step_08_rope_base,-2*0/step_08_proxy_head_dim))</f>
        <v>0.0</v>
      </c>
      <c r="F149" s="7">
        <f>COS($U$147*POWER(step_08_rope_base,-2*0/step_08_proxy_head_dim))</f>
        <v>1.0</v>
      </c>
      <c r="H149" s="7">
        <f>SIN($V$147*POWER(step_08_rope_base,-2*0/step_08_proxy_head_dim))</f>
        <v>0.8414709848078965</v>
      </c>
      <c r="I149" s="7">
        <f>COS($V$147*POWER(step_08_rope_base,-2*0/step_08_proxy_head_dim))</f>
        <v>0.5403023058681398</v>
      </c>
      <c r="K149" s="7">
        <f>SIN($W$147*POWER(step_08_rope_base,-2*0/step_08_proxy_head_dim))</f>
        <v>0.9092974268256817</v>
      </c>
      <c r="L149" s="7">
        <f>COS($W$147*POWER(step_08_rope_base,-2*0/step_08_proxy_head_dim))</f>
        <v>-0.4161468365471424</v>
      </c>
      <c r="N149" s="7">
        <f>SIN($X$147*POWER(step_08_rope_base,-2*0/step_08_proxy_head_dim))</f>
        <v>0.1411200080598672</v>
      </c>
      <c r="O149" s="7">
        <f>COS($X$147*POWER(step_08_rope_base,-2*0/step_08_proxy_head_dim))</f>
        <v>-0.9899924966004454</v>
      </c>
      <c r="Q149" s="7">
        <f>SIN($Y$147*POWER(step_08_rope_base,-2*0/step_08_proxy_head_dim))</f>
        <v>-0.7568024953079283</v>
      </c>
      <c r="R149" s="7">
        <f>COS($Y$147*POWER(step_08_rope_base,-2*0/step_08_proxy_head_dim))</f>
        <v>-0.6536436208636119</v>
      </c>
      <c r="T149" s="6">
        <v>2</v>
      </c>
      <c r="U149" s="7"/>
      <c r="V149" s="7"/>
      <c r="W149" s="7"/>
      <c r="X149" s="7"/>
      <c r="Y149" s="7"/>
    </row>
    <row r="150" spans="1:25" ht="28" customHeight="1">
      <c r="A150" s="3"/>
      <c r="S150" s="12" t="s">
        <v>80</v>
      </c>
      <c r="T150" s="6">
        <v>4</v>
      </c>
      <c r="U150" s="7" cm="1">
        <f t="array" ref="U150">MMULT(step_08_rotation_0_0,$U$131:$U$132)</f>
        <v>-1.4714524342206652</v>
      </c>
      <c r="V150" s="7" cm="1">
        <f t="array" ref="V150">MMULT(step_08_rotation_1_0,$V$131:$V$132)</f>
        <v>-2.101183028065796</v>
      </c>
      <c r="W150" s="7" cm="1">
        <f t="array" ref="W150">MMULT(step_08_rotation_2_0,$W$131:$W$132)</f>
        <v>-0.8160735196042268</v>
      </c>
      <c r="X150" s="7" cm="1">
        <f t="array" ref="X150">MMULT(step_08_rotation_3_0,$X$131:$X$132)</f>
        <v>1.3891116792544225</v>
      </c>
      <c r="Y150" s="7" cm="1">
        <f t="array" ref="Y150">MMULT(step_08_rotation_4_0,$Y$131:$Y$132)</f>
        <v>0.3053692947879843</v>
      </c>
    </row>
    <row r="151" spans="1:25" ht="28" customHeight="1">
      <c r="A151" s="3"/>
      <c r="E151" s="24" t="s">
        <v>92</v>
      </c>
      <c r="F151" s="24"/>
      <c r="H151" s="24" t="s">
        <v>94</v>
      </c>
      <c r="I151" s="24"/>
      <c r="K151" s="24" t="s">
        <v>96</v>
      </c>
      <c r="L151" s="24"/>
      <c r="N151" s="24" t="s">
        <v>98</v>
      </c>
      <c r="O151" s="24"/>
      <c r="Q151" s="24" t="s">
        <v>100</v>
      </c>
      <c r="R151" s="24"/>
      <c r="T151" s="6">
        <v>6</v>
      </c>
      <c r="U151" s="7"/>
      <c r="V151" s="7"/>
      <c r="W151" s="7"/>
      <c r="X151" s="7"/>
      <c r="Y151" s="7"/>
    </row>
    <row r="152" spans="1:25" ht="28" customHeight="1">
      <c r="A152" s="3"/>
      <c r="E152" s="7">
        <f>COS($U$147*POWER(step_08_rope_base,-2*1/step_08_proxy_head_dim))</f>
        <v>1.0</v>
      </c>
      <c r="F152" s="7">
        <f>-SIN($U$147*POWER(step_08_rope_base,-2*1/step_08_proxy_head_dim))</f>
        <v>-0.0</v>
      </c>
      <c r="H152" s="7">
        <f>COS($V$147*POWER(step_08_rope_base,-2*1/step_08_proxy_head_dim))</f>
        <v>0.9999990000001666</v>
      </c>
      <c r="I152" s="7">
        <f>-SIN($V$147*POWER(step_08_rope_base,-2*1/step_08_proxy_head_dim))</f>
        <v>-0.0014142130909686214</v>
      </c>
      <c r="K152" s="7">
        <f>COS($W$147*POWER(step_08_rope_base,-2*1/step_08_proxy_head_dim))</f>
        <v>0.9999960000026666</v>
      </c>
      <c r="L152" s="7">
        <f>-SIN($W$147*POWER(step_08_rope_base,-2*1/step_08_proxy_head_dim))</f>
        <v>-0.002828423353511532</v>
      </c>
      <c r="N152" s="7">
        <f>COS($X$147*POWER(step_08_rope_base,-2*1/step_08_proxy_head_dim))</f>
        <v>0.9999910000134999</v>
      </c>
      <c r="O152" s="7">
        <f>-SIN($X$147*POWER(step_08_rope_base,-2*1/step_08_proxy_head_dim))</f>
        <v>-0.004242627959208678</v>
      </c>
      <c r="Q152" s="7">
        <f>COS($Y$147*POWER(step_08_rope_base,-2*1/step_08_proxy_head_dim))</f>
        <v>0.9999840000426666</v>
      </c>
      <c r="R152" s="7">
        <f>-SIN($Y$147*POWER(step_08_rope_base,-2*1/step_08_proxy_head_dim))</f>
        <v>-0.0056568240796513215</v>
      </c>
      <c r="T152" s="6">
        <v>8</v>
      </c>
      <c r="U152" s="7" cm="1">
        <f t="array" ref="U152">MMULT(step_08_rotation_0_0,$U$133:$U$134)</f>
        <v>0.5061759239843081</v>
      </c>
      <c r="V152" s="7" cm="1">
        <f t="array" ref="V152">MMULT(step_08_rotation_1_0,$V$133:$V$134)</f>
        <v>0.5271653537229882</v>
      </c>
      <c r="W152" s="7" cm="1">
        <f t="array" ref="W152">MMULT(step_08_rotation_2_0,$W$133:$W$134)</f>
        <v>-0.1466080323268091</v>
      </c>
      <c r="X152" s="7" cm="1">
        <f t="array" ref="X152">MMULT(step_08_rotation_3_0,$X$133:$X$134)</f>
        <v>0.4519838361520364</v>
      </c>
      <c r="Y152" s="7" cm="1">
        <f t="array" ref="Y152">MMULT(step_08_rotation_4_0,$Y$133:$Y$134)</f>
        <v>-0.5431697403057719</v>
      </c>
    </row>
    <row r="153" spans="1:25" ht="28" customHeight="1">
      <c r="A153" s="3"/>
      <c r="E153" s="7">
        <f>SIN($U$147*POWER(step_08_rope_base,-2*1/step_08_proxy_head_dim))</f>
        <v>0.0</v>
      </c>
      <c r="F153" s="7">
        <f>COS($U$147*POWER(step_08_rope_base,-2*1/step_08_proxy_head_dim))</f>
        <v>1.0</v>
      </c>
      <c r="H153" s="7">
        <f>SIN($V$147*POWER(step_08_rope_base,-2*1/step_08_proxy_head_dim))</f>
        <v>0.0014142130909686214</v>
      </c>
      <c r="I153" s="7">
        <f>COS($V$147*POWER(step_08_rope_base,-2*1/step_08_proxy_head_dim))</f>
        <v>0.9999990000001666</v>
      </c>
      <c r="K153" s="7">
        <f>SIN($W$147*POWER(step_08_rope_base,-2*1/step_08_proxy_head_dim))</f>
        <v>0.002828423353511532</v>
      </c>
      <c r="L153" s="7">
        <f>COS($W$147*POWER(step_08_rope_base,-2*1/step_08_proxy_head_dim))</f>
        <v>0.9999960000026666</v>
      </c>
      <c r="N153" s="7">
        <f>SIN($X$147*POWER(step_08_rope_base,-2*1/step_08_proxy_head_dim))</f>
        <v>0.004242627959208678</v>
      </c>
      <c r="O153" s="7">
        <f>COS($X$147*POWER(step_08_rope_base,-2*1/step_08_proxy_head_dim))</f>
        <v>0.9999910000134999</v>
      </c>
      <c r="Q153" s="7">
        <f>SIN($Y$147*POWER(step_08_rope_base,-2*1/step_08_proxy_head_dim))</f>
        <v>0.0056568240796513215</v>
      </c>
      <c r="R153" s="7">
        <f>COS($Y$147*POWER(step_08_rope_base,-2*1/step_08_proxy_head_dim))</f>
        <v>0.9999840000426666</v>
      </c>
      <c r="T153" s="6">
        <v>10</v>
      </c>
      <c r="U153" s="7"/>
      <c r="V153" s="7"/>
      <c r="W153" s="7"/>
      <c r="X153" s="7"/>
      <c r="Y153" s="7"/>
    </row>
    <row r="154" spans="1:25" ht="28" customHeight="1">
      <c r="A154" s="3"/>
      <c r="T154" s="6">
        <v>12</v>
      </c>
      <c r="U154" s="7" cm="1">
        <f t="array" ref="U154">MMULT(step_08_rotation_0_0,$U$135:$U$136)</f>
        <v>-1.7760643617388436</v>
      </c>
      <c r="V154" s="7" cm="1">
        <f t="array" ref="V154">MMULT(step_08_rotation_1_0,$V$135:$V$136)</f>
        <v>-1.3039769994030794</v>
      </c>
      <c r="W154" s="7" cm="1">
        <f t="array" ref="W154">MMULT(step_08_rotation_2_0,$W$135:$W$136)</f>
        <v>0.11369774953477851</v>
      </c>
      <c r="X154" s="7" cm="1">
        <f t="array" ref="X154">MMULT(step_08_rotation_3_0,$X$135:$X$136)</f>
        <v>1.3127723344976672</v>
      </c>
      <c r="Y154" s="7" cm="1">
        <f t="array" ref="Y154">MMULT(step_08_rotation_4_0,$Y$135:$Y$136)</f>
        <v>-0.3851192009366883</v>
      </c>
    </row>
    <row r="155" spans="1:25" ht="28" customHeight="1">
      <c r="A155" s="3"/>
      <c r="T155" s="6">
        <v>14</v>
      </c>
      <c r="U155" s="7"/>
      <c r="V155" s="7"/>
      <c r="W155" s="7"/>
      <c r="X155" s="7"/>
      <c r="Y155" s="7"/>
    </row>
    <row r="156" spans="1:25" ht="28" customHeight="1">
      <c r="A156" s="3"/>
      <c r="T156" s="6">
        <v>1</v>
      </c>
      <c r="U156" s="7" cm="1">
        <f t="array" ref="U156">MMULT(step_08_rotation_0_1,$U$137:$U$138)</f>
        <v>-0.27890655766590167</v>
      </c>
      <c r="V156" s="7" cm="1">
        <f t="array" ref="V156">MMULT(step_08_rotation_1_1,$V$137:$V$138)</f>
        <v>0.9764902783398217</v>
      </c>
      <c r="W156" s="7" cm="1">
        <f t="array" ref="W156">MMULT(step_08_rotation_2_1,$W$137:$W$138)</f>
        <v>-0.04336620238341583</v>
      </c>
      <c r="X156" s="7" cm="1">
        <f t="array" ref="X156">MMULT(step_08_rotation_3_1,$X$137:$X$138)</f>
        <v>0.56509605146417</v>
      </c>
      <c r="Y156" s="7" cm="1">
        <f t="array" ref="Y156">MMULT(step_08_rotation_4_1,$Y$137:$Y$138)</f>
        <v>-0.1696615045427735</v>
      </c>
    </row>
    <row r="157" spans="1:25" ht="28" customHeight="1">
      <c r="A157" s="3"/>
      <c r="T157" s="6">
        <v>3</v>
      </c>
      <c r="U157" s="7"/>
      <c r="V157" s="7"/>
      <c r="W157" s="7"/>
      <c r="X157" s="7"/>
      <c r="Y157" s="7"/>
    </row>
    <row r="158" spans="1:25" ht="28" customHeight="1">
      <c r="A158" s="3"/>
      <c r="T158" s="6">
        <v>5</v>
      </c>
      <c r="U158" s="7" cm="1">
        <f t="array" ref="U158">MMULT(step_08_rotation_0_1,$U$139:$U$140)</f>
        <v>-2.3216067933697055</v>
      </c>
      <c r="V158" s="7" cm="1">
        <f t="array" ref="V158">MMULT(step_08_rotation_1_1,$V$139:$V$140)</f>
        <v>0.7041542273548159</v>
      </c>
      <c r="W158" s="7" cm="1">
        <f t="array" ref="W158">MMULT(step_08_rotation_2_1,$W$139:$W$140)</f>
        <v>-0.9249522555506626</v>
      </c>
      <c r="X158" s="7" cm="1">
        <f t="array" ref="X158">MMULT(step_08_rotation_3_1,$X$139:$X$140)</f>
        <v>-1.467466192970467</v>
      </c>
      <c r="Y158" s="7" cm="1">
        <f t="array" ref="Y158">MMULT(step_08_rotation_4_1,$Y$139:$Y$140)</f>
        <v>1.4471086784171454</v>
      </c>
    </row>
    <row r="159" spans="1:25" ht="28" customHeight="1">
      <c r="A159" s="3"/>
      <c r="T159" s="6">
        <v>7</v>
      </c>
      <c r="U159" s="7"/>
      <c r="V159" s="7"/>
      <c r="W159" s="7"/>
      <c r="X159" s="7"/>
      <c r="Y159" s="7"/>
    </row>
    <row r="160" spans="1:25" ht="28" customHeight="1">
      <c r="A160" s="3"/>
      <c r="T160" s="6">
        <v>9</v>
      </c>
      <c r="U160" s="7" cm="1">
        <f t="array" ref="U160">MMULT(step_08_rotation_0_1,$U$141:$U$142)</f>
        <v>-2.1121779492070316</v>
      </c>
      <c r="V160" s="7" cm="1">
        <f t="array" ref="V160">MMULT(step_08_rotation_1_1,$V$141:$V$142)</f>
        <v>-0.35628303185638455</v>
      </c>
      <c r="W160" s="7" cm="1">
        <f t="array" ref="W160">MMULT(step_08_rotation_2_1,$W$141:$W$142)</f>
        <v>-1.8464233909734922</v>
      </c>
      <c r="X160" s="7" cm="1">
        <f t="array" ref="X160">MMULT(step_08_rotation_3_1,$X$141:$X$142)</f>
        <v>-1.614808211224786</v>
      </c>
      <c r="Y160" s="7" cm="1">
        <f t="array" ref="Y160">MMULT(step_08_rotation_4_1,$Y$141:$Y$142)</f>
        <v>-0.34605346645978313</v>
      </c>
    </row>
    <row r="161" spans="1:29" ht="28" customHeight="1">
      <c r="A161" s="3"/>
      <c r="T161" s="6">
        <v>11</v>
      </c>
      <c r="U161" s="7"/>
      <c r="V161" s="7"/>
      <c r="W161" s="7"/>
      <c r="X161" s="7"/>
      <c r="Y161" s="7"/>
    </row>
    <row r="162" spans="1:29" ht="28" customHeight="1">
      <c r="A162" s="3"/>
      <c r="T162" s="6">
        <v>13</v>
      </c>
      <c r="U162" s="7" cm="1">
        <f t="array" ref="U162">MMULT(step_08_rotation_0_1,$U$143:$U$144)</f>
        <v>-0.8990651173528141</v>
      </c>
      <c r="V162" s="7" cm="1">
        <f t="array" ref="V162">MMULT(step_08_rotation_1_1,$V$143:$V$144)</f>
        <v>-0.012400701109776618</v>
      </c>
      <c r="W162" s="7" cm="1">
        <f t="array" ref="W162">MMULT(step_08_rotation_2_1,$W$143:$W$144)</f>
        <v>0.009441176282306125</v>
      </c>
      <c r="X162" s="7" cm="1">
        <f t="array" ref="X162">MMULT(step_08_rotation_3_1,$X$143:$X$144)</f>
        <v>-0.9125178672443992</v>
      </c>
      <c r="Y162" s="7" cm="1">
        <f t="array" ref="Y162">MMULT(step_08_rotation_4_1,$Y$143:$Y$144)</f>
        <v>1.595578884694301</v>
      </c>
    </row>
    <row r="163" spans="1:29" ht="28" customHeight="1">
      <c r="A163" s="3"/>
      <c r="T163" s="6">
        <v>15</v>
      </c>
      <c r="U163" s="7"/>
      <c r="V163" s="7"/>
      <c r="W163" s="7"/>
      <c r="X163" s="7"/>
      <c r="Y163" s="7"/>
    </row>
    <row r="164" spans="1:29" ht="28" customHeight="1">
      <c r="A164" s="3"/>
      <c r="W164" s="13" t="s">
        <v>6</v>
      </c>
    </row>
    <row r="165" spans="1:29" ht="28" customHeight="1">
      <c r="A165" s="3"/>
      <c r="U165" s="4" t="s">
        <v>115</v>
      </c>
      <c r="V165" s="4"/>
      <c r="W165" s="4"/>
      <c r="X165" s="4"/>
      <c r="Y165" s="4"/>
      <c r="Z165" s="4"/>
    </row>
    <row r="166" spans="1:29" ht="28" customHeight="1">
      <c r="A166" s="3"/>
      <c r="U166" s="5">
        <v>0</v>
      </c>
      <c r="V166" s="5">
        <v>1</v>
      </c>
      <c r="W166" s="5">
        <v>2</v>
      </c>
      <c r="X166" s="5">
        <v>3</v>
      </c>
      <c r="Y166" s="5">
        <v>4</v>
      </c>
    </row>
    <row r="167" spans="1:29" ht="28" customHeight="1">
      <c r="A167" s="3"/>
      <c r="T167" s="6">
        <v>0</v>
      </c>
      <c r="U167" s="14">
        <f>INDEX(step_08_paired_output,1,1)</f>
        <v>-0.39966340980495774</v>
      </c>
      <c r="V167" s="15">
        <f>INDEX(step_08_paired_output,1,2)</f>
        <v>0.9381618170043349</v>
      </c>
      <c r="W167" s="15">
        <f>INDEX(step_08_paired_output,1,3)</f>
        <v>0.5962612475844963</v>
      </c>
      <c r="X167" s="15">
        <f>INDEX(step_08_paired_output,1,4)</f>
        <v>-0.18061146232469777</v>
      </c>
      <c r="Y167" s="16">
        <f>INDEX(step_08_paired_output,1,5)</f>
        <v>-1.9030121524362242</v>
      </c>
      <c r="Z167" s="9" t="s">
        <v>4</v>
      </c>
      <c r="AC167" s="10" t="s">
        <v>29</v>
      </c>
    </row>
    <row r="168" spans="1:29" ht="28" customHeight="1">
      <c r="A168" s="3"/>
      <c r="T168" s="6">
        <v>1</v>
      </c>
      <c r="U168" s="17">
        <f>INDEX(step_08_paired_output,9,1)</f>
        <v>-0.27890655766590167</v>
      </c>
      <c r="V168" s="7">
        <f>INDEX(step_08_paired_output,9,2)</f>
        <v>0.9764902783398217</v>
      </c>
      <c r="W168" s="7">
        <f>INDEX(step_08_paired_output,9,3)</f>
        <v>-0.04336620238341583</v>
      </c>
      <c r="X168" s="7">
        <f>INDEX(step_08_paired_output,9,4)</f>
        <v>0.56509605146417</v>
      </c>
      <c r="Y168" s="18">
        <f>INDEX(step_08_paired_output,9,5)</f>
        <v>-0.1696615045427735</v>
      </c>
      <c r="Z168" s="11" t="s">
        <v>5</v>
      </c>
      <c r="AA168" s="25" t="s">
        <v>110</v>
      </c>
      <c r="AC168" s="10" t="s">
        <v>30</v>
      </c>
    </row>
    <row r="169" spans="1:29" ht="28" customHeight="1">
      <c r="A169" s="3"/>
      <c r="T169" s="6">
        <v>2</v>
      </c>
      <c r="U169" s="17">
        <f>INDEX(step_08_paired_output,2,1)</f>
        <v>-0.3168852073093944</v>
      </c>
      <c r="V169" s="7">
        <f>INDEX(step_08_paired_output,2,2)</f>
        <v>0.8363855865939963</v>
      </c>
      <c r="W169" s="7">
        <f>INDEX(step_08_paired_output,2,3)</f>
        <v>0.9998135000886264</v>
      </c>
      <c r="X169" s="7">
        <f>INDEX(step_08_paired_output,2,4)</f>
        <v>-0.13693022712059671</v>
      </c>
      <c r="Y169" s="18">
        <f>INDEX(step_08_paired_output,2,5)</f>
        <v>-0.24889868530021997</v>
      </c>
      <c r="Z169" s="11"/>
      <c r="AC169" s="10" t="s">
        <v>26</v>
      </c>
    </row>
    <row r="170" spans="1:29" ht="28" customHeight="1">
      <c r="A170" s="3"/>
      <c r="T170" s="6">
        <v>3</v>
      </c>
      <c r="U170" s="20">
        <f>INDEX(step_08_paired_output,10,1)</f>
        <v>-1.2722621448734763</v>
      </c>
      <c r="V170" s="21">
        <f>INDEX(step_08_paired_output,10,2)</f>
        <v>-0.30602367842287276</v>
      </c>
      <c r="W170" s="21">
        <f>INDEX(step_08_paired_output,10,3)</f>
        <v>-0.9341109133283699</v>
      </c>
      <c r="X170" s="21">
        <f>INDEX(step_08_paired_output,10,4)</f>
        <v>-1.352922126849932</v>
      </c>
      <c r="Y170" s="22">
        <f>INDEX(step_08_paired_output,10,5)</f>
        <v>0.13819041797639703</v>
      </c>
      <c r="Z170" s="11"/>
      <c r="AC170" s="10" t="s">
        <v>27</v>
      </c>
    </row>
    <row r="171" spans="1:29" ht="28" customHeight="1">
      <c r="A171" s="3"/>
      <c r="T171" s="6">
        <v>4</v>
      </c>
      <c r="U171" s="14">
        <f>INDEX(step_08_paired_output,3,1)</f>
        <v>-1.4714524342206652</v>
      </c>
      <c r="V171" s="15">
        <f>INDEX(step_08_paired_output,3,2)</f>
        <v>-2.101183028065796</v>
      </c>
      <c r="W171" s="15">
        <f>INDEX(step_08_paired_output,3,3)</f>
        <v>-0.8160735196042268</v>
      </c>
      <c r="X171" s="15">
        <f>INDEX(step_08_paired_output,3,4)</f>
        <v>1.3891116792544225</v>
      </c>
      <c r="Y171" s="16">
        <f>INDEX(step_08_paired_output,3,5)</f>
        <v>0.3053692947879843</v>
      </c>
      <c r="Z171" s="11"/>
    </row>
    <row r="172" spans="1:29" ht="28" customHeight="1">
      <c r="A172" s="3"/>
      <c r="T172" s="6">
        <v>5</v>
      </c>
      <c r="U172" s="17">
        <f>INDEX(step_08_paired_output,11,1)</f>
        <v>-2.3216067933697055</v>
      </c>
      <c r="V172" s="7">
        <f>INDEX(step_08_paired_output,11,2)</f>
        <v>0.7041542273548159</v>
      </c>
      <c r="W172" s="7">
        <f>INDEX(step_08_paired_output,11,3)</f>
        <v>-0.9249522555506626</v>
      </c>
      <c r="X172" s="7">
        <f>INDEX(step_08_paired_output,11,4)</f>
        <v>-1.467466192970467</v>
      </c>
      <c r="Y172" s="18">
        <f>INDEX(step_08_paired_output,11,5)</f>
        <v>1.4471086784171454</v>
      </c>
      <c r="Z172" s="11"/>
      <c r="AA172" s="25" t="s">
        <v>111</v>
      </c>
    </row>
    <row r="173" spans="1:29" ht="28" customHeight="1">
      <c r="A173" s="3"/>
      <c r="T173" s="6">
        <v>6</v>
      </c>
      <c r="U173" s="17">
        <f>INDEX(step_08_paired_output,4,1)</f>
        <v>1.0080810655900136</v>
      </c>
      <c r="V173" s="7">
        <f>INDEX(step_08_paired_output,4,2)</f>
        <v>0.48891568427378385</v>
      </c>
      <c r="W173" s="7">
        <f>INDEX(step_08_paired_output,4,3)</f>
        <v>-1.785632520230549</v>
      </c>
      <c r="X173" s="7">
        <f>INDEX(step_08_paired_output,4,4)</f>
        <v>-2.0192370138999207</v>
      </c>
      <c r="Y173" s="18">
        <f>INDEX(step_08_paired_output,4,5)</f>
        <v>-0.2159342861391082</v>
      </c>
      <c r="Z173" s="11"/>
    </row>
    <row r="174" spans="1:29" ht="28" customHeight="1">
      <c r="A174" s="3"/>
      <c r="T174" s="6">
        <v>7</v>
      </c>
      <c r="U174" s="20">
        <f>INDEX(step_08_paired_output,12,1)</f>
        <v>-0.5147834889456567</v>
      </c>
      <c r="V174" s="21">
        <f>INDEX(step_08_paired_output,12,2)</f>
        <v>-0.12808669530572822</v>
      </c>
      <c r="W174" s="21">
        <f>INDEX(step_08_paired_output,12,3)</f>
        <v>-1.2250370390630998</v>
      </c>
      <c r="X174" s="21">
        <f>INDEX(step_08_paired_output,12,4)</f>
        <v>0.19376869266180072</v>
      </c>
      <c r="Y174" s="22">
        <f>INDEX(step_08_paired_output,12,5)</f>
        <v>-1.6680520999113446</v>
      </c>
      <c r="Z174" s="11"/>
    </row>
    <row r="175" spans="1:29" ht="28" customHeight="1">
      <c r="A175" s="3"/>
      <c r="T175" s="6">
        <v>8</v>
      </c>
      <c r="U175" s="14">
        <f>INDEX(step_08_paired_output,5,1)</f>
        <v>0.5061759239843081</v>
      </c>
      <c r="V175" s="15">
        <f>INDEX(step_08_paired_output,5,2)</f>
        <v>0.5271653537229882</v>
      </c>
      <c r="W175" s="15">
        <f>INDEX(step_08_paired_output,5,3)</f>
        <v>-0.1466080323268091</v>
      </c>
      <c r="X175" s="15">
        <f>INDEX(step_08_paired_output,5,4)</f>
        <v>0.4519838361520364</v>
      </c>
      <c r="Y175" s="16">
        <f>INDEX(step_08_paired_output,5,5)</f>
        <v>-0.5431697403057719</v>
      </c>
      <c r="Z175" s="11"/>
    </row>
    <row r="176" spans="1:29" ht="28" customHeight="1">
      <c r="A176" s="3"/>
      <c r="T176" s="6">
        <v>9</v>
      </c>
      <c r="U176" s="17">
        <f>INDEX(step_08_paired_output,13,1)</f>
        <v>-2.1121779492070316</v>
      </c>
      <c r="V176" s="7">
        <f>INDEX(step_08_paired_output,13,2)</f>
        <v>-0.35628303185638455</v>
      </c>
      <c r="W176" s="7">
        <f>INDEX(step_08_paired_output,13,3)</f>
        <v>-1.8464233909734922</v>
      </c>
      <c r="X176" s="7">
        <f>INDEX(step_08_paired_output,13,4)</f>
        <v>-1.614808211224786</v>
      </c>
      <c r="Y176" s="18">
        <f>INDEX(step_08_paired_output,13,5)</f>
        <v>-0.34605346645978313</v>
      </c>
      <c r="Z176" s="11"/>
      <c r="AA176" s="25" t="s">
        <v>112</v>
      </c>
    </row>
    <row r="177" spans="1:43" ht="28" customHeight="1">
      <c r="A177" s="3"/>
      <c r="T177" s="6">
        <v>10</v>
      </c>
      <c r="U177" s="17">
        <f>INDEX(step_08_paired_output,6,1)</f>
        <v>1.9955900643914872</v>
      </c>
      <c r="V177" s="7">
        <f>INDEX(step_08_paired_output,6,2)</f>
        <v>-2.4822638111892514</v>
      </c>
      <c r="W177" s="7">
        <f>INDEX(step_08_paired_output,6,3)</f>
        <v>-0.5888594194606036</v>
      </c>
      <c r="X177" s="7">
        <f>INDEX(step_08_paired_output,6,4)</f>
        <v>-0.7370476113179115</v>
      </c>
      <c r="Y177" s="18">
        <f>INDEX(step_08_paired_output,6,5)</f>
        <v>1.558620622907616</v>
      </c>
      <c r="Z177" s="11"/>
    </row>
    <row r="178" spans="1:43" ht="28" customHeight="1">
      <c r="A178" s="3"/>
      <c r="T178" s="6">
        <v>11</v>
      </c>
      <c r="U178" s="20">
        <f>INDEX(step_08_paired_output,14,1)</f>
        <v>0.12185585917732876</v>
      </c>
      <c r="V178" s="21">
        <f>INDEX(step_08_paired_output,14,2)</f>
        <v>-1.021428725611672</v>
      </c>
      <c r="W178" s="21">
        <f>INDEX(step_08_paired_output,14,3)</f>
        <v>-0.9766485346226969</v>
      </c>
      <c r="X178" s="21">
        <f>INDEX(step_08_paired_output,14,4)</f>
        <v>-0.06583740914575688</v>
      </c>
      <c r="Y178" s="22">
        <f>INDEX(step_08_paired_output,14,5)</f>
        <v>-1.7260650034698473</v>
      </c>
      <c r="Z178" s="11"/>
    </row>
    <row r="179" spans="1:43" ht="28" customHeight="1">
      <c r="A179" s="3"/>
      <c r="T179" s="6">
        <v>12</v>
      </c>
      <c r="U179" s="14">
        <f>INDEX(step_08_paired_output,7,1)</f>
        <v>-1.7760643617388436</v>
      </c>
      <c r="V179" s="15">
        <f>INDEX(step_08_paired_output,7,2)</f>
        <v>-1.3039769994030794</v>
      </c>
      <c r="W179" s="15">
        <f>INDEX(step_08_paired_output,7,3)</f>
        <v>0.11369774953477851</v>
      </c>
      <c r="X179" s="15">
        <f>INDEX(step_08_paired_output,7,4)</f>
        <v>1.3127723344976672</v>
      </c>
      <c r="Y179" s="16">
        <f>INDEX(step_08_paired_output,7,5)</f>
        <v>-0.3851192009366883</v>
      </c>
      <c r="Z179" s="11"/>
    </row>
    <row r="180" spans="1:43" ht="28" customHeight="1">
      <c r="A180" s="3"/>
      <c r="T180" s="6">
        <v>13</v>
      </c>
      <c r="U180" s="17">
        <f>INDEX(step_08_paired_output,15,1)</f>
        <v>-0.8990651173528141</v>
      </c>
      <c r="V180" s="7">
        <f>INDEX(step_08_paired_output,15,2)</f>
        <v>-0.012400701109776618</v>
      </c>
      <c r="W180" s="7">
        <f>INDEX(step_08_paired_output,15,3)</f>
        <v>0.009441176282306125</v>
      </c>
      <c r="X180" s="7">
        <f>INDEX(step_08_paired_output,15,4)</f>
        <v>-0.9125178672443992</v>
      </c>
      <c r="Y180" s="18">
        <f>INDEX(step_08_paired_output,15,5)</f>
        <v>1.595578884694301</v>
      </c>
      <c r="Z180" s="11"/>
      <c r="AA180" s="25" t="s">
        <v>113</v>
      </c>
    </row>
    <row r="181" spans="1:43" ht="28" customHeight="1">
      <c r="A181" s="3"/>
      <c r="T181" s="6">
        <v>14</v>
      </c>
      <c r="U181" s="17">
        <f>INDEX(step_08_paired_output,8,1)</f>
        <v>1.3157962091006326</v>
      </c>
      <c r="V181" s="7">
        <f>INDEX(step_08_paired_output,8,2)</f>
        <v>-0.08388883346860687</v>
      </c>
      <c r="W181" s="7">
        <f>INDEX(step_08_paired_output,8,3)</f>
        <v>-1.9730331233297034</v>
      </c>
      <c r="X181" s="7">
        <f>INDEX(step_08_paired_output,8,4)</f>
        <v>-2.3685918256919742</v>
      </c>
      <c r="Y181" s="18">
        <f>INDEX(step_08_paired_output,8,5)</f>
        <v>1.2375244423381435</v>
      </c>
      <c r="Z181" s="11"/>
    </row>
    <row r="182" spans="1:43" ht="28" customHeight="1">
      <c r="A182" s="3"/>
      <c r="T182" s="6">
        <v>15</v>
      </c>
      <c r="U182" s="20">
        <f>INDEX(step_08_paired_output,16,1)</f>
        <v>2.980526380151959</v>
      </c>
      <c r="V182" s="21">
        <f>INDEX(step_08_paired_output,16,2)</f>
        <v>-1.5625515556349059</v>
      </c>
      <c r="W182" s="21">
        <f>INDEX(step_08_paired_output,16,3)</f>
        <v>1.694398384127822</v>
      </c>
      <c r="X182" s="21">
        <f>INDEX(step_08_paired_output,16,4)</f>
        <v>1.1595638299702462</v>
      </c>
      <c r="Y182" s="22">
        <f>INDEX(step_08_paired_output,16,5)</f>
        <v>-0.3062505091205714</v>
      </c>
      <c r="Z182" s="9" t="s">
        <v>6</v>
      </c>
    </row>
    <row r="183" spans="1:43" ht="28" customHeight="1">
      <c r="A183" s="3"/>
      <c r="W183" s="8" t="s">
        <v>6</v>
      </c>
    </row>
    <row r="184" spans="1:43" ht="28" customHeight="1">
      <c r="A184" s="3"/>
      <c r="B184" s="2" t="s">
        <v>31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ht="28" customHeight="1">
      <c r="A185" s="3" t="s">
        <v>167</v>
      </c>
      <c r="O185" s="4" t="s">
        <v>116</v>
      </c>
      <c r="P185" s="4"/>
      <c r="Q185" s="4"/>
      <c r="R185" s="4"/>
      <c r="S185" s="4"/>
      <c r="T185" s="4"/>
      <c r="U185" s="4" t="s">
        <v>117</v>
      </c>
      <c r="V185" s="4"/>
      <c r="W185" s="4"/>
      <c r="X185" s="4"/>
      <c r="Y185" s="4"/>
      <c r="Z185" s="4"/>
      <c r="AA185" s="4"/>
    </row>
    <row r="186" spans="1:43" ht="28" customHeight="1">
      <c r="A186" s="3"/>
      <c r="O186" s="5">
        <v>0</v>
      </c>
      <c r="P186" s="5">
        <v>1</v>
      </c>
      <c r="Q186" s="5">
        <v>2</v>
      </c>
      <c r="R186" s="5">
        <v>3</v>
      </c>
      <c r="U186" s="5">
        <v>0</v>
      </c>
      <c r="V186" s="5">
        <v>1</v>
      </c>
      <c r="W186" s="5">
        <v>2</v>
      </c>
      <c r="X186" s="5">
        <v>3</v>
      </c>
      <c r="Y186" s="5">
        <v>4</v>
      </c>
    </row>
    <row r="187" spans="1:43" ht="28" customHeight="1">
      <c r="A187" s="3"/>
      <c r="N187" s="6">
        <v>0</v>
      </c>
      <c r="O187" s="14" cm="1">
        <f t="array" ref="O187">TRANSPOSE(step_09_key_k1)</f>
        <v>0</v>
      </c>
      <c r="P187" s="15"/>
      <c r="Q187" s="15"/>
      <c r="R187" s="16"/>
      <c r="T187" s="6">
        <v>0</v>
      </c>
      <c r="U187" s="14" cm="1">
        <f t="array" ref="U187">MMULT(step_09_key_transpose_k1,step_09_query_q1)</f>
        <v>0</v>
      </c>
      <c r="V187" s="15"/>
      <c r="W187" s="15"/>
      <c r="X187" s="15"/>
      <c r="Y187" s="16"/>
      <c r="Z187" s="9" t="s">
        <v>4</v>
      </c>
      <c r="AC187" s="10" t="s">
        <v>32</v>
      </c>
    </row>
    <row r="188" spans="1:43" ht="28" customHeight="1">
      <c r="A188" s="3"/>
      <c r="N188" s="6">
        <v>1</v>
      </c>
      <c r="O188" s="17"/>
      <c r="P188" s="7"/>
      <c r="Q188" s="7"/>
      <c r="R188" s="18"/>
      <c r="T188" s="6">
        <v>1</v>
      </c>
      <c r="U188" s="17"/>
      <c r="V188" s="7"/>
      <c r="W188" s="7"/>
      <c r="X188" s="7"/>
      <c r="Y188" s="18"/>
      <c r="Z188" s="11" t="s">
        <v>34</v>
      </c>
      <c r="AC188" s="10" t="s">
        <v>33</v>
      </c>
    </row>
    <row r="189" spans="1:43" ht="28" customHeight="1">
      <c r="A189" s="3"/>
      <c r="N189" s="6">
        <v>2</v>
      </c>
      <c r="O189" s="17"/>
      <c r="P189" s="7"/>
      <c r="Q189" s="7"/>
      <c r="R189" s="18"/>
      <c r="T189" s="6">
        <v>2</v>
      </c>
      <c r="U189" s="17"/>
      <c r="V189" s="7"/>
      <c r="W189" s="7"/>
      <c r="X189" s="7"/>
      <c r="Y189" s="18"/>
      <c r="Z189" s="11"/>
      <c r="AA189" s="25" t="s">
        <v>120</v>
      </c>
      <c r="AC189" s="10" t="s">
        <v>26</v>
      </c>
    </row>
    <row r="190" spans="1:43" ht="28" customHeight="1">
      <c r="A190" s="3"/>
      <c r="N190" s="6">
        <v>3</v>
      </c>
      <c r="O190" s="17"/>
      <c r="P190" s="7"/>
      <c r="Q190" s="7"/>
      <c r="R190" s="18"/>
      <c r="T190" s="6">
        <v>3</v>
      </c>
      <c r="U190" s="17"/>
      <c r="V190" s="7"/>
      <c r="W190" s="7"/>
      <c r="X190" s="7"/>
      <c r="Y190" s="18"/>
      <c r="Z190" s="11"/>
      <c r="AC190" s="10" t="s">
        <v>27</v>
      </c>
    </row>
    <row r="191" spans="1:43" ht="28" customHeight="1">
      <c r="A191" s="3"/>
      <c r="N191" s="6">
        <v>4</v>
      </c>
      <c r="O191" s="20"/>
      <c r="P191" s="21"/>
      <c r="Q191" s="21"/>
      <c r="R191" s="22"/>
      <c r="T191" s="6">
        <v>4</v>
      </c>
      <c r="U191" s="20"/>
      <c r="V191" s="21"/>
      <c r="W191" s="21"/>
      <c r="X191" s="21"/>
      <c r="Y191" s="22"/>
      <c r="Z191" s="11"/>
    </row>
    <row r="192" spans="1:43" ht="28" customHeight="1">
      <c r="A192" s="3"/>
      <c r="N192" s="6">
        <v>0</v>
      </c>
      <c r="O192" s="14" cm="1">
        <f t="array" ref="O192">TRANSPOSE(step_09_key_k2)</f>
        <v>0</v>
      </c>
      <c r="P192" s="15"/>
      <c r="Q192" s="15"/>
      <c r="R192" s="16"/>
      <c r="S192" s="12" t="s">
        <v>80</v>
      </c>
      <c r="T192" s="6">
        <v>0</v>
      </c>
      <c r="U192" s="14" cm="1">
        <f t="array" ref="U192">MMULT(step_09_key_transpose_k1,step_09_query_q2)</f>
        <v>0</v>
      </c>
      <c r="V192" s="15"/>
      <c r="W192" s="15"/>
      <c r="X192" s="15"/>
      <c r="Y192" s="16"/>
      <c r="Z192" s="11"/>
    </row>
    <row r="193" spans="1:43" ht="28" customHeight="1">
      <c r="A193" s="3"/>
      <c r="N193" s="6">
        <v>1</v>
      </c>
      <c r="O193" s="17"/>
      <c r="P193" s="7"/>
      <c r="Q193" s="7"/>
      <c r="R193" s="18"/>
      <c r="T193" s="6">
        <v>1</v>
      </c>
      <c r="U193" s="17"/>
      <c r="V193" s="7"/>
      <c r="W193" s="7"/>
      <c r="X193" s="7"/>
      <c r="Y193" s="18"/>
      <c r="Z193" s="11"/>
    </row>
    <row r="194" spans="1:43" ht="28" customHeight="1">
      <c r="A194" s="3"/>
      <c r="N194" s="6">
        <v>2</v>
      </c>
      <c r="O194" s="17"/>
      <c r="P194" s="7"/>
      <c r="Q194" s="7"/>
      <c r="R194" s="18"/>
      <c r="T194" s="6">
        <v>2</v>
      </c>
      <c r="U194" s="17"/>
      <c r="V194" s="7"/>
      <c r="W194" s="7"/>
      <c r="X194" s="7"/>
      <c r="Y194" s="18"/>
      <c r="Z194" s="11"/>
      <c r="AA194" s="25" t="s">
        <v>121</v>
      </c>
    </row>
    <row r="195" spans="1:43" ht="28" customHeight="1">
      <c r="A195" s="3"/>
      <c r="N195" s="6">
        <v>3</v>
      </c>
      <c r="O195" s="17"/>
      <c r="P195" s="7"/>
      <c r="Q195" s="7"/>
      <c r="R195" s="18"/>
      <c r="T195" s="6">
        <v>3</v>
      </c>
      <c r="U195" s="17"/>
      <c r="V195" s="7"/>
      <c r="W195" s="7"/>
      <c r="X195" s="7"/>
      <c r="Y195" s="18"/>
      <c r="Z195" s="11"/>
    </row>
    <row r="196" spans="1:43" ht="28" customHeight="1">
      <c r="A196" s="3"/>
      <c r="N196" s="6">
        <v>4</v>
      </c>
      <c r="O196" s="20"/>
      <c r="P196" s="21"/>
      <c r="Q196" s="21"/>
      <c r="R196" s="22"/>
      <c r="T196" s="6">
        <v>4</v>
      </c>
      <c r="U196" s="26"/>
      <c r="V196" s="27"/>
      <c r="W196" s="27"/>
      <c r="X196" s="27"/>
      <c r="Y196" s="28"/>
      <c r="Z196" s="11"/>
    </row>
    <row r="197" spans="1:43" ht="28" customHeight="1">
      <c r="A197" s="3"/>
      <c r="T197" s="6">
        <v>0</v>
      </c>
      <c r="U197" s="14" cm="1">
        <f t="array" ref="U197">MMULT(step_09_key_transpose_k2,step_09_query_q3)</f>
        <v>0</v>
      </c>
      <c r="V197" s="15"/>
      <c r="W197" s="15"/>
      <c r="X197" s="15"/>
      <c r="Y197" s="16"/>
      <c r="Z197" s="11"/>
    </row>
    <row r="198" spans="1:43" ht="28" customHeight="1">
      <c r="A198" s="3"/>
      <c r="T198" s="6">
        <v>1</v>
      </c>
      <c r="U198" s="17"/>
      <c r="V198" s="7"/>
      <c r="W198" s="7"/>
      <c r="X198" s="7"/>
      <c r="Y198" s="18"/>
      <c r="Z198" s="11"/>
    </row>
    <row r="199" spans="1:43" ht="28" customHeight="1">
      <c r="A199" s="3"/>
      <c r="T199" s="6">
        <v>2</v>
      </c>
      <c r="U199" s="17"/>
      <c r="V199" s="7"/>
      <c r="W199" s="7"/>
      <c r="X199" s="7"/>
      <c r="Y199" s="18"/>
      <c r="Z199" s="11"/>
      <c r="AA199" s="25" t="s">
        <v>122</v>
      </c>
    </row>
    <row r="200" spans="1:43" ht="28" customHeight="1">
      <c r="A200" s="3"/>
      <c r="T200" s="6">
        <v>3</v>
      </c>
      <c r="U200" s="17"/>
      <c r="V200" s="7"/>
      <c r="W200" s="7"/>
      <c r="X200" s="7"/>
      <c r="Y200" s="18"/>
      <c r="Z200" s="11"/>
    </row>
    <row r="201" spans="1:43" ht="28" customHeight="1">
      <c r="A201" s="3"/>
      <c r="T201" s="6">
        <v>4</v>
      </c>
      <c r="U201" s="20"/>
      <c r="V201" s="21"/>
      <c r="W201" s="21"/>
      <c r="X201" s="21"/>
      <c r="Y201" s="22"/>
      <c r="Z201" s="11"/>
    </row>
    <row r="202" spans="1:43" ht="28" customHeight="1">
      <c r="A202" s="3"/>
      <c r="T202" s="6">
        <v>0</v>
      </c>
      <c r="U202" s="14" cm="1">
        <f t="array" ref="U202">MMULT(step_09_key_transpose_k2,step_09_query_q4)</f>
        <v>0</v>
      </c>
      <c r="V202" s="15"/>
      <c r="W202" s="15"/>
      <c r="X202" s="15"/>
      <c r="Y202" s="16"/>
      <c r="Z202" s="11"/>
    </row>
    <row r="203" spans="1:43" ht="28" customHeight="1">
      <c r="A203" s="3"/>
      <c r="T203" s="6">
        <v>1</v>
      </c>
      <c r="U203" s="17"/>
      <c r="V203" s="7"/>
      <c r="W203" s="7"/>
      <c r="X203" s="7"/>
      <c r="Y203" s="18"/>
      <c r="Z203" s="11"/>
    </row>
    <row r="204" spans="1:43" ht="28" customHeight="1">
      <c r="A204" s="3"/>
      <c r="T204" s="6">
        <v>2</v>
      </c>
      <c r="U204" s="17"/>
      <c r="V204" s="7"/>
      <c r="W204" s="7"/>
      <c r="X204" s="7"/>
      <c r="Y204" s="18"/>
      <c r="Z204" s="11"/>
      <c r="AA204" s="25" t="s">
        <v>123</v>
      </c>
    </row>
    <row r="205" spans="1:43" ht="28" customHeight="1">
      <c r="A205" s="3"/>
      <c r="T205" s="6">
        <v>3</v>
      </c>
      <c r="U205" s="17"/>
      <c r="V205" s="7"/>
      <c r="W205" s="7"/>
      <c r="X205" s="7"/>
      <c r="Y205" s="18"/>
      <c r="Z205" s="11"/>
    </row>
    <row r="206" spans="1:43" ht="28" customHeight="1">
      <c r="A206" s="3"/>
      <c r="T206" s="6">
        <v>4</v>
      </c>
      <c r="U206" s="20"/>
      <c r="V206" s="21"/>
      <c r="W206" s="21"/>
      <c r="X206" s="21"/>
      <c r="Y206" s="22"/>
      <c r="Z206" s="9" t="s">
        <v>6</v>
      </c>
    </row>
    <row r="207" spans="1:43" ht="28" customHeight="1">
      <c r="A207" s="3"/>
      <c r="W207" s="8" t="s">
        <v>6</v>
      </c>
    </row>
    <row r="208" spans="1:43" ht="28" customHeight="1">
      <c r="A208" s="3"/>
      <c r="B208" s="2" t="s">
        <v>35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27" ht="28" customHeight="1">
      <c r="A209" s="3" t="s">
        <v>168</v>
      </c>
      <c r="U209" s="4" t="s">
        <v>124</v>
      </c>
      <c r="V209" s="4"/>
      <c r="W209" s="4"/>
      <c r="X209" s="4"/>
      <c r="Y209" s="4"/>
      <c r="Z209" s="4"/>
      <c r="AA209" s="4"/>
    </row>
    <row r="210" spans="1:27" ht="28" customHeight="1">
      <c r="A210" s="3"/>
      <c r="U210" s="5">
        <v>0</v>
      </c>
      <c r="V210" s="5">
        <v>1</v>
      </c>
      <c r="W210" s="5">
        <v>2</v>
      </c>
      <c r="X210" s="5">
        <v>3</v>
      </c>
      <c r="Y210" s="5">
        <v>4</v>
      </c>
    </row>
    <row r="211" spans="1:27" ht="28" customHeight="1">
      <c r="A211" s="3"/>
      <c r="T211" s="6">
        <v>0</v>
      </c>
      <c r="U211" s="14" cm="1">
        <f t="array" ref="U211">IF(_xlfn.SEQUENCE(step_10_proxy_seq,1,1,1)&lt;=_xlfn.SEQUENCE(1,step_10_proxy_seq,1,1),step_09_output_q1/SQRT(step_10_proxy_head_dim),-1E+30)</f>
        <v>0</v>
      </c>
      <c r="V211" s="15"/>
      <c r="W211" s="15"/>
      <c r="X211" s="15"/>
      <c r="Y211" s="16"/>
    </row>
    <row r="212" spans="1:27" ht="28" customHeight="1">
      <c r="A212" s="3"/>
      <c r="T212" s="6">
        <v>1</v>
      </c>
      <c r="U212" s="17"/>
      <c r="V212" s="7"/>
      <c r="W212" s="7"/>
      <c r="X212" s="7"/>
      <c r="Y212" s="18"/>
    </row>
    <row r="213" spans="1:27" ht="28" customHeight="1">
      <c r="A213" s="3"/>
      <c r="T213" s="6">
        <v>2</v>
      </c>
      <c r="U213" s="17"/>
      <c r="V213" s="7"/>
      <c r="W213" s="7"/>
      <c r="X213" s="7"/>
      <c r="Y213" s="18"/>
      <c r="AA213" s="25" t="s">
        <v>127</v>
      </c>
    </row>
    <row r="214" spans="1:27" ht="28" customHeight="1">
      <c r="A214" s="3"/>
      <c r="T214" s="6">
        <v>3</v>
      </c>
      <c r="U214" s="17"/>
      <c r="V214" s="7"/>
      <c r="W214" s="7"/>
      <c r="X214" s="7"/>
      <c r="Y214" s="18"/>
    </row>
    <row r="215" spans="1:27" ht="28" customHeight="1">
      <c r="A215" s="3"/>
      <c r="T215" s="6">
        <v>4</v>
      </c>
      <c r="U215" s="20"/>
      <c r="V215" s="21"/>
      <c r="W215" s="21"/>
      <c r="X215" s="21"/>
      <c r="Y215" s="22"/>
    </row>
    <row r="216" spans="1:27" ht="28" customHeight="1">
      <c r="A216" s="3"/>
      <c r="T216" s="6">
        <v>0</v>
      </c>
      <c r="U216" s="14" cm="1">
        <f t="array" ref="U216">IF(_xlfn.SEQUENCE(step_10_proxy_seq,1,1,1)&lt;=_xlfn.SEQUENCE(1,step_10_proxy_seq,1,1),step_09_output_q2/SQRT(step_10_proxy_head_dim),-1E+30)</f>
        <v>0</v>
      </c>
      <c r="V216" s="15"/>
      <c r="W216" s="15"/>
      <c r="X216" s="15"/>
      <c r="Y216" s="16"/>
    </row>
    <row r="217" spans="1:27" ht="28" customHeight="1">
      <c r="A217" s="3"/>
      <c r="T217" s="6">
        <v>1</v>
      </c>
      <c r="U217" s="17"/>
      <c r="V217" s="7"/>
      <c r="W217" s="7"/>
      <c r="X217" s="7"/>
      <c r="Y217" s="18"/>
    </row>
    <row r="218" spans="1:27" ht="28" customHeight="1">
      <c r="A218" s="3"/>
      <c r="T218" s="6">
        <v>2</v>
      </c>
      <c r="U218" s="17"/>
      <c r="V218" s="7"/>
      <c r="W218" s="7"/>
      <c r="X218" s="7"/>
      <c r="Y218" s="18"/>
      <c r="AA218" s="25" t="s">
        <v>128</v>
      </c>
    </row>
    <row r="219" spans="1:27" ht="28" customHeight="1">
      <c r="A219" s="3"/>
      <c r="T219" s="6">
        <v>3</v>
      </c>
      <c r="U219" s="17"/>
      <c r="V219" s="7"/>
      <c r="W219" s="7"/>
      <c r="X219" s="7"/>
      <c r="Y219" s="18"/>
    </row>
    <row r="220" spans="1:27" ht="28" customHeight="1">
      <c r="A220" s="3"/>
      <c r="T220" s="6">
        <v>4</v>
      </c>
      <c r="U220" s="26"/>
      <c r="V220" s="27"/>
      <c r="W220" s="27"/>
      <c r="X220" s="27"/>
      <c r="Y220" s="28"/>
    </row>
    <row r="221" spans="1:27" ht="28" customHeight="1">
      <c r="A221" s="3"/>
      <c r="T221" s="6">
        <v>0</v>
      </c>
      <c r="U221" s="14" cm="1">
        <f t="array" ref="U221">IF(_xlfn.SEQUENCE(step_10_proxy_seq,1,1,1)&lt;=_xlfn.SEQUENCE(1,step_10_proxy_seq,1,1),step_09_output_q3/SQRT(step_10_proxy_head_dim),-1E+30)</f>
        <v>0</v>
      </c>
      <c r="V221" s="15"/>
      <c r="W221" s="15"/>
      <c r="X221" s="15"/>
      <c r="Y221" s="16"/>
    </row>
    <row r="222" spans="1:27" ht="28" customHeight="1">
      <c r="A222" s="3"/>
      <c r="T222" s="6">
        <v>1</v>
      </c>
      <c r="U222" s="17"/>
      <c r="V222" s="7"/>
      <c r="W222" s="7"/>
      <c r="X222" s="7"/>
      <c r="Y222" s="18"/>
    </row>
    <row r="223" spans="1:27" ht="28" customHeight="1">
      <c r="A223" s="3"/>
      <c r="T223" s="6">
        <v>2</v>
      </c>
      <c r="U223" s="17"/>
      <c r="V223" s="7"/>
      <c r="W223" s="7"/>
      <c r="X223" s="7"/>
      <c r="Y223" s="18"/>
      <c r="AA223" s="25" t="s">
        <v>129</v>
      </c>
    </row>
    <row r="224" spans="1:27" ht="28" customHeight="1">
      <c r="A224" s="3"/>
      <c r="T224" s="6">
        <v>3</v>
      </c>
      <c r="U224" s="17"/>
      <c r="V224" s="7"/>
      <c r="W224" s="7"/>
      <c r="X224" s="7"/>
      <c r="Y224" s="18"/>
    </row>
    <row r="225" spans="1:27" ht="28" customHeight="1">
      <c r="A225" s="3"/>
      <c r="T225" s="6">
        <v>4</v>
      </c>
      <c r="U225" s="20"/>
      <c r="V225" s="21"/>
      <c r="W225" s="21"/>
      <c r="X225" s="21"/>
      <c r="Y225" s="22"/>
    </row>
    <row r="226" spans="1:27" ht="28" customHeight="1">
      <c r="A226" s="3"/>
      <c r="T226" s="6">
        <v>0</v>
      </c>
      <c r="U226" s="14" cm="1">
        <f t="array" ref="U226">IF(_xlfn.SEQUENCE(step_10_proxy_seq,1,1,1)&lt;=_xlfn.SEQUENCE(1,step_10_proxy_seq,1,1),step_09_output_q4/SQRT(step_10_proxy_head_dim),-1E+30)</f>
        <v>0</v>
      </c>
      <c r="V226" s="15"/>
      <c r="W226" s="15"/>
      <c r="X226" s="15"/>
      <c r="Y226" s="16"/>
    </row>
    <row r="227" spans="1:27" ht="28" customHeight="1">
      <c r="A227" s="3"/>
      <c r="T227" s="6">
        <v>1</v>
      </c>
      <c r="U227" s="17"/>
      <c r="V227" s="7"/>
      <c r="W227" s="7"/>
      <c r="X227" s="7"/>
      <c r="Y227" s="18"/>
    </row>
    <row r="228" spans="1:27" ht="28" customHeight="1">
      <c r="A228" s="3"/>
      <c r="T228" s="6">
        <v>2</v>
      </c>
      <c r="U228" s="17"/>
      <c r="V228" s="7"/>
      <c r="W228" s="7"/>
      <c r="X228" s="7"/>
      <c r="Y228" s="18"/>
      <c r="AA228" s="25" t="s">
        <v>130</v>
      </c>
    </row>
    <row r="229" spans="1:27" ht="28" customHeight="1">
      <c r="A229" s="3"/>
      <c r="T229" s="6">
        <v>3</v>
      </c>
      <c r="U229" s="17"/>
      <c r="V229" s="7"/>
      <c r="W229" s="7"/>
      <c r="X229" s="7"/>
      <c r="Y229" s="18"/>
    </row>
    <row r="230" spans="1:27" ht="28" customHeight="1">
      <c r="A230" s="3"/>
      <c r="T230" s="6">
        <v>4</v>
      </c>
      <c r="U230" s="20"/>
      <c r="V230" s="21"/>
      <c r="W230" s="21"/>
      <c r="X230" s="21"/>
      <c r="Y230" s="22"/>
    </row>
    <row r="231" spans="1:27" ht="28" customHeight="1">
      <c r="A231" s="3"/>
      <c r="W231" s="13" t="s">
        <v>6</v>
      </c>
    </row>
    <row r="232" spans="1:27" ht="28" customHeight="1">
      <c r="A232" s="3"/>
      <c r="U232" s="4" t="s">
        <v>125</v>
      </c>
      <c r="V232" s="4"/>
      <c r="W232" s="4"/>
      <c r="X232" s="4"/>
      <c r="Y232" s="4"/>
      <c r="Z232" s="4"/>
      <c r="AA232" s="4"/>
    </row>
    <row r="233" spans="1:27" ht="28" customHeight="1">
      <c r="A233" s="3"/>
      <c r="U233" s="5">
        <v>0</v>
      </c>
      <c r="V233" s="5">
        <v>1</v>
      </c>
      <c r="W233" s="5">
        <v>2</v>
      </c>
      <c r="X233" s="5">
        <v>3</v>
      </c>
      <c r="Y233" s="5">
        <v>4</v>
      </c>
    </row>
    <row r="234" spans="1:27" ht="28" customHeight="1">
      <c r="A234" s="3"/>
      <c r="T234" s="6">
        <v>0</v>
      </c>
      <c r="U234" s="7" cm="1">
        <f t="array" ref="U234">_xlfn.BYCOL(step_10_masked_q1,_xlfn.LAMBDA(_xlpm.x,SUM(EXP(_xlpm.x))))</f>
        <v>0</v>
      </c>
      <c r="V234" s="7"/>
      <c r="W234" s="7"/>
      <c r="X234" s="7"/>
      <c r="Y234" s="7"/>
    </row>
    <row r="235" spans="1:27" ht="28" customHeight="1">
      <c r="A235" s="3"/>
      <c r="T235" s="6">
        <v>1</v>
      </c>
      <c r="U235" s="7" cm="1">
        <f t="array" ref="U235">_xlfn.BYCOL(step_10_masked_q2,_xlfn.LAMBDA(_xlpm.x,SUM(EXP(_xlpm.x))))</f>
        <v>0</v>
      </c>
      <c r="V235" s="7"/>
      <c r="W235" s="7"/>
      <c r="X235" s="7"/>
      <c r="Y235" s="7"/>
    </row>
    <row r="236" spans="1:27" ht="28" customHeight="1">
      <c r="A236" s="3"/>
      <c r="T236" s="6">
        <v>2</v>
      </c>
      <c r="U236" s="7" cm="1">
        <f t="array" ref="U236">_xlfn.BYCOL(step_10_masked_q3,_xlfn.LAMBDA(_xlpm.x,SUM(EXP(_xlpm.x))))</f>
        <v>0</v>
      </c>
      <c r="V236" s="7"/>
      <c r="W236" s="7"/>
      <c r="X236" s="7"/>
      <c r="Y236" s="7"/>
    </row>
    <row r="237" spans="1:27" ht="28" customHeight="1">
      <c r="A237" s="3"/>
      <c r="T237" s="6">
        <v>3</v>
      </c>
      <c r="U237" s="7" cm="1">
        <f t="array" ref="U237">_xlfn.BYCOL(step_10_masked_q4,_xlfn.LAMBDA(_xlpm.x,SUM(EXP(_xlpm.x))))</f>
        <v>0</v>
      </c>
      <c r="V237" s="7"/>
      <c r="W237" s="7"/>
      <c r="X237" s="7"/>
      <c r="Y237" s="7"/>
    </row>
    <row r="238" spans="1:27" ht="28" customHeight="1">
      <c r="A238" s="3"/>
      <c r="W238" s="13" t="s">
        <v>6</v>
      </c>
    </row>
    <row r="239" spans="1:27" ht="28" customHeight="1">
      <c r="A239" s="3"/>
      <c r="U239" s="4" t="s">
        <v>126</v>
      </c>
      <c r="V239" s="4"/>
      <c r="W239" s="4"/>
      <c r="X239" s="4"/>
      <c r="Y239" s="4"/>
      <c r="Z239" s="4"/>
      <c r="AA239" s="4"/>
    </row>
    <row r="240" spans="1:27" ht="28" customHeight="1">
      <c r="A240" s="3"/>
      <c r="U240" s="5">
        <v>0</v>
      </c>
      <c r="V240" s="5">
        <v>1</v>
      </c>
      <c r="W240" s="5">
        <v>2</v>
      </c>
      <c r="X240" s="5">
        <v>3</v>
      </c>
      <c r="Y240" s="5">
        <v>4</v>
      </c>
    </row>
    <row r="241" spans="1:29" ht="28" customHeight="1">
      <c r="A241" s="3"/>
      <c r="T241" s="6">
        <v>0</v>
      </c>
      <c r="U241" s="14" cm="1">
        <f t="array" ref="U241">EXP(step_10_masked_q1)/step_10_partition_q1</f>
        <v>0</v>
      </c>
      <c r="V241" s="15"/>
      <c r="W241" s="15"/>
      <c r="X241" s="15"/>
      <c r="Y241" s="16"/>
      <c r="Z241" s="9" t="s">
        <v>4</v>
      </c>
      <c r="AC241" s="10" t="s">
        <v>36</v>
      </c>
    </row>
    <row r="242" spans="1:29" ht="28" customHeight="1">
      <c r="A242" s="3"/>
      <c r="T242" s="6">
        <v>1</v>
      </c>
      <c r="U242" s="17"/>
      <c r="V242" s="7"/>
      <c r="W242" s="7"/>
      <c r="X242" s="7"/>
      <c r="Y242" s="18"/>
      <c r="Z242" s="11" t="s">
        <v>34</v>
      </c>
      <c r="AC242" s="10" t="s">
        <v>37</v>
      </c>
    </row>
    <row r="243" spans="1:29" ht="28" customHeight="1">
      <c r="A243" s="3"/>
      <c r="T243" s="6">
        <v>2</v>
      </c>
      <c r="U243" s="17"/>
      <c r="V243" s="7"/>
      <c r="W243" s="7"/>
      <c r="X243" s="7"/>
      <c r="Y243" s="18"/>
      <c r="Z243" s="11"/>
      <c r="AA243" s="25" t="s">
        <v>127</v>
      </c>
      <c r="AC243" s="10" t="s">
        <v>26</v>
      </c>
    </row>
    <row r="244" spans="1:29" ht="28" customHeight="1">
      <c r="A244" s="3"/>
      <c r="T244" s="6">
        <v>3</v>
      </c>
      <c r="U244" s="17"/>
      <c r="V244" s="7"/>
      <c r="W244" s="7"/>
      <c r="X244" s="7"/>
      <c r="Y244" s="18"/>
      <c r="Z244" s="11"/>
      <c r="AC244" s="10" t="s">
        <v>27</v>
      </c>
    </row>
    <row r="245" spans="1:29" ht="28" customHeight="1">
      <c r="A245" s="3"/>
      <c r="T245" s="6">
        <v>4</v>
      </c>
      <c r="U245" s="20"/>
      <c r="V245" s="21"/>
      <c r="W245" s="21"/>
      <c r="X245" s="21"/>
      <c r="Y245" s="22"/>
      <c r="Z245" s="11"/>
    </row>
    <row r="246" spans="1:29" ht="28" customHeight="1">
      <c r="A246" s="3"/>
      <c r="T246" s="6">
        <v>0</v>
      </c>
      <c r="U246" s="14" cm="1">
        <f t="array" ref="U246">EXP(step_10_masked_q2)/step_10_partition_q2</f>
        <v>0</v>
      </c>
      <c r="V246" s="15"/>
      <c r="W246" s="15"/>
      <c r="X246" s="15"/>
      <c r="Y246" s="16"/>
      <c r="Z246" s="11"/>
    </row>
    <row r="247" spans="1:29" ht="28" customHeight="1">
      <c r="A247" s="3"/>
      <c r="T247" s="6">
        <v>1</v>
      </c>
      <c r="U247" s="17"/>
      <c r="V247" s="7"/>
      <c r="W247" s="7"/>
      <c r="X247" s="7"/>
      <c r="Y247" s="18"/>
      <c r="Z247" s="11"/>
    </row>
    <row r="248" spans="1:29" ht="28" customHeight="1">
      <c r="A248" s="3"/>
      <c r="T248" s="6">
        <v>2</v>
      </c>
      <c r="U248" s="17"/>
      <c r="V248" s="7"/>
      <c r="W248" s="7"/>
      <c r="X248" s="7"/>
      <c r="Y248" s="18"/>
      <c r="Z248" s="11"/>
      <c r="AA248" s="25" t="s">
        <v>128</v>
      </c>
    </row>
    <row r="249" spans="1:29" ht="28" customHeight="1">
      <c r="A249" s="3"/>
      <c r="T249" s="6">
        <v>3</v>
      </c>
      <c r="U249" s="17"/>
      <c r="V249" s="7"/>
      <c r="W249" s="7"/>
      <c r="X249" s="7"/>
      <c r="Y249" s="18"/>
      <c r="Z249" s="11"/>
    </row>
    <row r="250" spans="1:29" ht="28" customHeight="1">
      <c r="A250" s="3"/>
      <c r="T250" s="6">
        <v>4</v>
      </c>
      <c r="U250" s="26"/>
      <c r="V250" s="27"/>
      <c r="W250" s="27"/>
      <c r="X250" s="27"/>
      <c r="Y250" s="28"/>
      <c r="Z250" s="11"/>
    </row>
    <row r="251" spans="1:29" ht="28" customHeight="1">
      <c r="A251" s="3"/>
      <c r="T251" s="6">
        <v>0</v>
      </c>
      <c r="U251" s="14" cm="1">
        <f t="array" ref="U251">EXP(step_10_masked_q3)/step_10_partition_q3</f>
        <v>0</v>
      </c>
      <c r="V251" s="15"/>
      <c r="W251" s="15"/>
      <c r="X251" s="15"/>
      <c r="Y251" s="16"/>
      <c r="Z251" s="11"/>
    </row>
    <row r="252" spans="1:29" ht="28" customHeight="1">
      <c r="A252" s="3"/>
      <c r="T252" s="6">
        <v>1</v>
      </c>
      <c r="U252" s="17"/>
      <c r="V252" s="7"/>
      <c r="W252" s="7"/>
      <c r="X252" s="7"/>
      <c r="Y252" s="18"/>
      <c r="Z252" s="11"/>
    </row>
    <row r="253" spans="1:29" ht="28" customHeight="1">
      <c r="A253" s="3"/>
      <c r="T253" s="6">
        <v>2</v>
      </c>
      <c r="U253" s="17"/>
      <c r="V253" s="7"/>
      <c r="W253" s="7"/>
      <c r="X253" s="7"/>
      <c r="Y253" s="18"/>
      <c r="Z253" s="11"/>
      <c r="AA253" s="25" t="s">
        <v>129</v>
      </c>
    </row>
    <row r="254" spans="1:29" ht="28" customHeight="1">
      <c r="A254" s="3"/>
      <c r="T254" s="6">
        <v>3</v>
      </c>
      <c r="U254" s="17"/>
      <c r="V254" s="7"/>
      <c r="W254" s="7"/>
      <c r="X254" s="7"/>
      <c r="Y254" s="18"/>
      <c r="Z254" s="11"/>
    </row>
    <row r="255" spans="1:29" ht="28" customHeight="1">
      <c r="A255" s="3"/>
      <c r="T255" s="6">
        <v>4</v>
      </c>
      <c r="U255" s="20"/>
      <c r="V255" s="21"/>
      <c r="W255" s="21"/>
      <c r="X255" s="21"/>
      <c r="Y255" s="22"/>
      <c r="Z255" s="11"/>
    </row>
    <row r="256" spans="1:29" ht="28" customHeight="1">
      <c r="A256" s="3"/>
      <c r="T256" s="6">
        <v>0</v>
      </c>
      <c r="U256" s="14" cm="1">
        <f t="array" ref="U256">EXP(step_10_masked_q4)/step_10_partition_q4</f>
        <v>0</v>
      </c>
      <c r="V256" s="15"/>
      <c r="W256" s="15"/>
      <c r="X256" s="15"/>
      <c r="Y256" s="16"/>
      <c r="Z256" s="11"/>
    </row>
    <row r="257" spans="1:43" ht="28" customHeight="1">
      <c r="A257" s="3"/>
      <c r="T257" s="6">
        <v>1</v>
      </c>
      <c r="U257" s="17"/>
      <c r="V257" s="7"/>
      <c r="W257" s="7"/>
      <c r="X257" s="7"/>
      <c r="Y257" s="18"/>
      <c r="Z257" s="11"/>
    </row>
    <row r="258" spans="1:43" ht="28" customHeight="1">
      <c r="A258" s="3"/>
      <c r="T258" s="6">
        <v>2</v>
      </c>
      <c r="U258" s="17"/>
      <c r="V258" s="7"/>
      <c r="W258" s="7"/>
      <c r="X258" s="7"/>
      <c r="Y258" s="18"/>
      <c r="Z258" s="11"/>
      <c r="AA258" s="25" t="s">
        <v>130</v>
      </c>
    </row>
    <row r="259" spans="1:43" ht="28" customHeight="1">
      <c r="A259" s="3"/>
      <c r="T259" s="6">
        <v>3</v>
      </c>
      <c r="U259" s="17"/>
      <c r="V259" s="7"/>
      <c r="W259" s="7"/>
      <c r="X259" s="7"/>
      <c r="Y259" s="18"/>
      <c r="Z259" s="11"/>
    </row>
    <row r="260" spans="1:43" ht="28" customHeight="1">
      <c r="A260" s="3"/>
      <c r="T260" s="6">
        <v>4</v>
      </c>
      <c r="U260" s="20"/>
      <c r="V260" s="21"/>
      <c r="W260" s="21"/>
      <c r="X260" s="21"/>
      <c r="Y260" s="22"/>
      <c r="Z260" s="9" t="s">
        <v>6</v>
      </c>
    </row>
    <row r="261" spans="1:43" ht="28" customHeight="1">
      <c r="A261" s="3"/>
      <c r="W261" s="8" t="s">
        <v>6</v>
      </c>
    </row>
    <row r="262" spans="1:43" ht="28" customHeight="1">
      <c r="A262" s="3"/>
      <c r="B262" s="2" t="s">
        <v>38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ht="28" customHeight="1">
      <c r="A263" s="3" t="s">
        <v>169</v>
      </c>
      <c r="N263" s="4" t="s">
        <v>131</v>
      </c>
      <c r="O263" s="4"/>
      <c r="P263" s="4"/>
      <c r="Q263" s="4"/>
      <c r="R263" s="4"/>
      <c r="S263" s="4"/>
      <c r="T263" s="4"/>
      <c r="U263" s="4" t="s">
        <v>132</v>
      </c>
      <c r="V263" s="4"/>
      <c r="W263" s="4"/>
      <c r="X263" s="4"/>
      <c r="Y263" s="4"/>
      <c r="Z263" s="4"/>
      <c r="AA263" s="4"/>
    </row>
    <row r="264" spans="1:43" ht="28" customHeight="1">
      <c r="A264" s="3"/>
      <c r="N264" s="5">
        <v>0</v>
      </c>
      <c r="O264" s="5">
        <v>1</v>
      </c>
      <c r="P264" s="5">
        <v>2</v>
      </c>
      <c r="Q264" s="5">
        <v>3</v>
      </c>
      <c r="R264" s="5">
        <v>4</v>
      </c>
      <c r="U264" s="5">
        <v>0</v>
      </c>
      <c r="V264" s="5">
        <v>1</v>
      </c>
      <c r="W264" s="5">
        <v>2</v>
      </c>
      <c r="X264" s="5">
        <v>3</v>
      </c>
      <c r="Y264" s="5">
        <v>4</v>
      </c>
    </row>
    <row r="265" spans="1:43" ht="28" customHeight="1">
      <c r="A265" s="3"/>
      <c r="M265" s="6">
        <v>0</v>
      </c>
      <c r="N265" s="14" cm="1">
        <f t="array" ref="N265">step_06_output</f>
        <v>0</v>
      </c>
      <c r="O265" s="15"/>
      <c r="P265" s="15"/>
      <c r="Q265" s="15"/>
      <c r="R265" s="16"/>
      <c r="T265" s="6">
        <v>0</v>
      </c>
      <c r="U265" s="14" cm="1">
        <f t="array" ref="U265">MMULT(step_11_value_v1,step_11_attention_q1)</f>
        <v>0</v>
      </c>
      <c r="V265" s="15"/>
      <c r="W265" s="15"/>
      <c r="X265" s="15"/>
      <c r="Y265" s="16"/>
      <c r="Z265" s="9" t="s">
        <v>4</v>
      </c>
      <c r="AC265" s="10" t="s">
        <v>39</v>
      </c>
    </row>
    <row r="266" spans="1:43" ht="28" customHeight="1">
      <c r="A266" s="3"/>
      <c r="M266" s="6">
        <v>1</v>
      </c>
      <c r="N266" s="17"/>
      <c r="O266" s="7"/>
      <c r="P266" s="7"/>
      <c r="Q266" s="7"/>
      <c r="R266" s="18"/>
      <c r="T266" s="6">
        <v>1</v>
      </c>
      <c r="U266" s="17"/>
      <c r="V266" s="7"/>
      <c r="W266" s="7"/>
      <c r="X266" s="7"/>
      <c r="Y266" s="18"/>
      <c r="Z266" s="11" t="s">
        <v>41</v>
      </c>
      <c r="AA266" s="25" t="s">
        <v>110</v>
      </c>
      <c r="AC266" s="10" t="s">
        <v>40</v>
      </c>
    </row>
    <row r="267" spans="1:43" ht="28" customHeight="1">
      <c r="A267" s="3"/>
      <c r="M267" s="6">
        <v>2</v>
      </c>
      <c r="N267" s="17"/>
      <c r="O267" s="7"/>
      <c r="P267" s="7"/>
      <c r="Q267" s="7"/>
      <c r="R267" s="18"/>
      <c r="T267" s="6">
        <v>2</v>
      </c>
      <c r="U267" s="17"/>
      <c r="V267" s="7"/>
      <c r="W267" s="7"/>
      <c r="X267" s="7"/>
      <c r="Y267" s="18"/>
      <c r="Z267" s="11"/>
      <c r="AC267" s="10" t="s">
        <v>26</v>
      </c>
    </row>
    <row r="268" spans="1:43" ht="28" customHeight="1">
      <c r="A268" s="3"/>
      <c r="M268" s="6">
        <v>3</v>
      </c>
      <c r="N268" s="20"/>
      <c r="O268" s="21"/>
      <c r="P268" s="21"/>
      <c r="Q268" s="21"/>
      <c r="R268" s="22"/>
      <c r="T268" s="6">
        <v>3</v>
      </c>
      <c r="U268" s="20"/>
      <c r="V268" s="21"/>
      <c r="W268" s="21"/>
      <c r="X268" s="21"/>
      <c r="Y268" s="22"/>
      <c r="Z268" s="11"/>
      <c r="AC268" s="10" t="s">
        <v>27</v>
      </c>
    </row>
    <row r="269" spans="1:43" ht="28" customHeight="1">
      <c r="A269" s="3"/>
      <c r="M269" s="6">
        <v>4</v>
      </c>
      <c r="N269" s="14"/>
      <c r="O269" s="15"/>
      <c r="P269" s="15"/>
      <c r="Q269" s="15"/>
      <c r="R269" s="16"/>
      <c r="S269" s="12" t="s">
        <v>80</v>
      </c>
      <c r="T269" s="6">
        <v>4</v>
      </c>
      <c r="U269" s="14" cm="1">
        <f t="array" ref="U269">MMULT(step_11_value_v1,step_11_attention_q2)</f>
        <v>0</v>
      </c>
      <c r="V269" s="15"/>
      <c r="W269" s="15"/>
      <c r="X269" s="15"/>
      <c r="Y269" s="16"/>
      <c r="Z269" s="11"/>
    </row>
    <row r="270" spans="1:43" ht="28" customHeight="1">
      <c r="A270" s="3"/>
      <c r="M270" s="6">
        <v>5</v>
      </c>
      <c r="N270" s="17"/>
      <c r="O270" s="7"/>
      <c r="P270" s="7"/>
      <c r="Q270" s="7"/>
      <c r="R270" s="18"/>
      <c r="T270" s="6">
        <v>5</v>
      </c>
      <c r="U270" s="17"/>
      <c r="V270" s="7"/>
      <c r="W270" s="7"/>
      <c r="X270" s="7"/>
      <c r="Y270" s="18"/>
      <c r="Z270" s="11"/>
      <c r="AA270" s="25" t="s">
        <v>111</v>
      </c>
    </row>
    <row r="271" spans="1:43" ht="28" customHeight="1">
      <c r="A271" s="3"/>
      <c r="M271" s="6">
        <v>6</v>
      </c>
      <c r="N271" s="17"/>
      <c r="O271" s="7"/>
      <c r="P271" s="7"/>
      <c r="Q271" s="7"/>
      <c r="R271" s="18"/>
      <c r="T271" s="6">
        <v>6</v>
      </c>
      <c r="U271" s="17"/>
      <c r="V271" s="7"/>
      <c r="W271" s="7"/>
      <c r="X271" s="7"/>
      <c r="Y271" s="18"/>
      <c r="Z271" s="11"/>
    </row>
    <row r="272" spans="1:43" ht="28" customHeight="1">
      <c r="A272" s="3"/>
      <c r="M272" s="6">
        <v>7</v>
      </c>
      <c r="N272" s="20"/>
      <c r="O272" s="21"/>
      <c r="P272" s="21"/>
      <c r="Q272" s="21"/>
      <c r="R272" s="22"/>
      <c r="T272" s="6">
        <v>7</v>
      </c>
      <c r="U272" s="26"/>
      <c r="V272" s="27"/>
      <c r="W272" s="27"/>
      <c r="X272" s="27"/>
      <c r="Y272" s="28"/>
      <c r="Z272" s="11"/>
    </row>
    <row r="273" spans="1:43" ht="28" customHeight="1">
      <c r="A273" s="3"/>
      <c r="T273" s="6">
        <v>8</v>
      </c>
      <c r="U273" s="14" cm="1">
        <f t="array" ref="U273">MMULT(step_11_value_v2,step_11_attention_q3)</f>
        <v>0</v>
      </c>
      <c r="V273" s="15"/>
      <c r="W273" s="15"/>
      <c r="X273" s="15"/>
      <c r="Y273" s="16"/>
      <c r="Z273" s="11"/>
    </row>
    <row r="274" spans="1:43" ht="28" customHeight="1">
      <c r="A274" s="3"/>
      <c r="T274" s="6">
        <v>9</v>
      </c>
      <c r="U274" s="17"/>
      <c r="V274" s="7"/>
      <c r="W274" s="7"/>
      <c r="X274" s="7"/>
      <c r="Y274" s="18"/>
      <c r="Z274" s="11"/>
      <c r="AA274" s="25" t="s">
        <v>112</v>
      </c>
    </row>
    <row r="275" spans="1:43" ht="28" customHeight="1">
      <c r="A275" s="3"/>
      <c r="T275" s="6">
        <v>10</v>
      </c>
      <c r="U275" s="17"/>
      <c r="V275" s="7"/>
      <c r="W275" s="7"/>
      <c r="X275" s="7"/>
      <c r="Y275" s="18"/>
      <c r="Z275" s="11"/>
    </row>
    <row r="276" spans="1:43" ht="28" customHeight="1">
      <c r="A276" s="3"/>
      <c r="T276" s="6">
        <v>11</v>
      </c>
      <c r="U276" s="20"/>
      <c r="V276" s="21"/>
      <c r="W276" s="21"/>
      <c r="X276" s="21"/>
      <c r="Y276" s="22"/>
      <c r="Z276" s="11"/>
    </row>
    <row r="277" spans="1:43" ht="28" customHeight="1">
      <c r="A277" s="3"/>
      <c r="T277" s="6">
        <v>12</v>
      </c>
      <c r="U277" s="14" cm="1">
        <f t="array" ref="U277">MMULT(step_11_value_v2,step_11_attention_q4)</f>
        <v>0</v>
      </c>
      <c r="V277" s="15"/>
      <c r="W277" s="15"/>
      <c r="X277" s="15"/>
      <c r="Y277" s="16"/>
      <c r="Z277" s="11"/>
    </row>
    <row r="278" spans="1:43" ht="28" customHeight="1">
      <c r="A278" s="3"/>
      <c r="T278" s="6">
        <v>13</v>
      </c>
      <c r="U278" s="17"/>
      <c r="V278" s="7"/>
      <c r="W278" s="7"/>
      <c r="X278" s="7"/>
      <c r="Y278" s="18"/>
      <c r="Z278" s="11"/>
      <c r="AA278" s="25" t="s">
        <v>113</v>
      </c>
    </row>
    <row r="279" spans="1:43" ht="28" customHeight="1">
      <c r="A279" s="3"/>
      <c r="T279" s="6">
        <v>14</v>
      </c>
      <c r="U279" s="17"/>
      <c r="V279" s="7"/>
      <c r="W279" s="7"/>
      <c r="X279" s="7"/>
      <c r="Y279" s="18"/>
      <c r="Z279" s="11"/>
    </row>
    <row r="280" spans="1:43" ht="28" customHeight="1">
      <c r="A280" s="3"/>
      <c r="T280" s="6">
        <v>15</v>
      </c>
      <c r="U280" s="20"/>
      <c r="V280" s="21"/>
      <c r="W280" s="21"/>
      <c r="X280" s="21"/>
      <c r="Y280" s="22"/>
      <c r="Z280" s="9" t="s">
        <v>6</v>
      </c>
    </row>
    <row r="281" spans="1:43" ht="28" customHeight="1">
      <c r="A281" s="3"/>
      <c r="W281" s="8" t="s">
        <v>6</v>
      </c>
    </row>
    <row r="282" spans="1:43" ht="28" customHeight="1">
      <c r="A282" s="3"/>
      <c r="B282" s="2" t="s">
        <v>42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ht="28" customHeight="1">
      <c r="A283" s="3" t="s">
        <v>170</v>
      </c>
      <c r="U283" s="4" t="s">
        <v>133</v>
      </c>
      <c r="V283" s="4"/>
      <c r="W283" s="4"/>
      <c r="X283" s="4"/>
      <c r="Y283" s="4"/>
      <c r="Z283" s="4"/>
      <c r="AA283" s="4"/>
    </row>
    <row r="284" spans="1:43" ht="28" customHeight="1">
      <c r="A284" s="3"/>
      <c r="U284" s="5">
        <v>0</v>
      </c>
      <c r="V284" s="5">
        <v>1</v>
      </c>
      <c r="W284" s="5">
        <v>2</v>
      </c>
      <c r="X284" s="5">
        <v>3</v>
      </c>
      <c r="Y284" s="5">
        <v>4</v>
      </c>
    </row>
    <row r="285" spans="1:43" ht="28" customHeight="1">
      <c r="A285" s="3"/>
      <c r="T285" s="6">
        <v>0</v>
      </c>
      <c r="U285" s="7" cm="1">
        <f t="array" ref="U285">step_11_output</f>
        <v>0</v>
      </c>
      <c r="V285" s="7"/>
      <c r="W285" s="7"/>
      <c r="X285" s="7"/>
      <c r="Y285" s="7"/>
      <c r="Z285" s="9" t="s">
        <v>4</v>
      </c>
      <c r="AC285" s="10" t="s">
        <v>43</v>
      </c>
    </row>
    <row r="286" spans="1:43" ht="28" customHeight="1">
      <c r="A286" s="3"/>
      <c r="T286" s="6">
        <v>1</v>
      </c>
      <c r="U286" s="7"/>
      <c r="V286" s="7"/>
      <c r="W286" s="7"/>
      <c r="X286" s="7"/>
      <c r="Y286" s="7"/>
      <c r="Z286" s="11" t="s">
        <v>5</v>
      </c>
      <c r="AC286" s="10" t="s">
        <v>44</v>
      </c>
    </row>
    <row r="287" spans="1:43" ht="28" customHeight="1">
      <c r="A287" s="3"/>
      <c r="T287" s="6">
        <v>2</v>
      </c>
      <c r="U287" s="7"/>
      <c r="V287" s="7"/>
      <c r="W287" s="7"/>
      <c r="X287" s="7"/>
      <c r="Y287" s="7"/>
      <c r="Z287" s="11"/>
    </row>
    <row r="288" spans="1:43" ht="28" customHeight="1">
      <c r="A288" s="3"/>
      <c r="T288" s="6">
        <v>3</v>
      </c>
      <c r="U288" s="7"/>
      <c r="V288" s="7"/>
      <c r="W288" s="7"/>
      <c r="X288" s="7"/>
      <c r="Y288" s="7"/>
      <c r="Z288" s="11"/>
    </row>
    <row r="289" spans="1:43" ht="28" customHeight="1">
      <c r="A289" s="3"/>
      <c r="T289" s="6">
        <v>4</v>
      </c>
      <c r="U289" s="7"/>
      <c r="V289" s="7"/>
      <c r="W289" s="7"/>
      <c r="X289" s="7"/>
      <c r="Y289" s="7"/>
      <c r="Z289" s="11"/>
    </row>
    <row r="290" spans="1:43" ht="28" customHeight="1">
      <c r="A290" s="3"/>
      <c r="T290" s="6">
        <v>5</v>
      </c>
      <c r="U290" s="7"/>
      <c r="V290" s="7"/>
      <c r="W290" s="7"/>
      <c r="X290" s="7"/>
      <c r="Y290" s="7"/>
      <c r="Z290" s="11"/>
    </row>
    <row r="291" spans="1:43" ht="28" customHeight="1">
      <c r="A291" s="3"/>
      <c r="T291" s="6">
        <v>6</v>
      </c>
      <c r="U291" s="7"/>
      <c r="V291" s="7"/>
      <c r="W291" s="7"/>
      <c r="X291" s="7"/>
      <c r="Y291" s="7"/>
      <c r="Z291" s="11"/>
    </row>
    <row r="292" spans="1:43" ht="28" customHeight="1">
      <c r="A292" s="3"/>
      <c r="T292" s="6">
        <v>7</v>
      </c>
      <c r="U292" s="7"/>
      <c r="V292" s="7"/>
      <c r="W292" s="7"/>
      <c r="X292" s="7"/>
      <c r="Y292" s="7"/>
      <c r="Z292" s="11"/>
    </row>
    <row r="293" spans="1:43" ht="28" customHeight="1">
      <c r="A293" s="3"/>
      <c r="T293" s="6">
        <v>8</v>
      </c>
      <c r="U293" s="7"/>
      <c r="V293" s="7"/>
      <c r="W293" s="7"/>
      <c r="X293" s="7"/>
      <c r="Y293" s="7"/>
      <c r="Z293" s="11"/>
    </row>
    <row r="294" spans="1:43" ht="28" customHeight="1">
      <c r="A294" s="3"/>
      <c r="T294" s="6">
        <v>9</v>
      </c>
      <c r="U294" s="7"/>
      <c r="V294" s="7"/>
      <c r="W294" s="7"/>
      <c r="X294" s="7"/>
      <c r="Y294" s="7"/>
      <c r="Z294" s="11"/>
    </row>
    <row r="295" spans="1:43" ht="28" customHeight="1">
      <c r="A295" s="3"/>
      <c r="T295" s="6">
        <v>10</v>
      </c>
      <c r="U295" s="7"/>
      <c r="V295" s="7"/>
      <c r="W295" s="7"/>
      <c r="X295" s="7"/>
      <c r="Y295" s="7"/>
      <c r="Z295" s="11"/>
    </row>
    <row r="296" spans="1:43" ht="28" customHeight="1">
      <c r="A296" s="3"/>
      <c r="T296" s="6">
        <v>11</v>
      </c>
      <c r="U296" s="7"/>
      <c r="V296" s="7"/>
      <c r="W296" s="7"/>
      <c r="X296" s="7"/>
      <c r="Y296" s="7"/>
      <c r="Z296" s="11"/>
    </row>
    <row r="297" spans="1:43" ht="28" customHeight="1">
      <c r="A297" s="3"/>
      <c r="T297" s="6">
        <v>12</v>
      </c>
      <c r="U297" s="7"/>
      <c r="V297" s="7"/>
      <c r="W297" s="7"/>
      <c r="X297" s="7"/>
      <c r="Y297" s="7"/>
      <c r="Z297" s="11"/>
    </row>
    <row r="298" spans="1:43" ht="28" customHeight="1">
      <c r="A298" s="3"/>
      <c r="T298" s="6">
        <v>13</v>
      </c>
      <c r="U298" s="7"/>
      <c r="V298" s="7"/>
      <c r="W298" s="7"/>
      <c r="X298" s="7"/>
      <c r="Y298" s="7"/>
      <c r="Z298" s="11"/>
    </row>
    <row r="299" spans="1:43" ht="28" customHeight="1">
      <c r="A299" s="3"/>
      <c r="T299" s="6">
        <v>14</v>
      </c>
      <c r="U299" s="7"/>
      <c r="V299" s="7"/>
      <c r="W299" s="7"/>
      <c r="X299" s="7"/>
      <c r="Y299" s="7"/>
      <c r="Z299" s="11"/>
    </row>
    <row r="300" spans="1:43" ht="28" customHeight="1">
      <c r="A300" s="3"/>
      <c r="T300" s="6">
        <v>15</v>
      </c>
      <c r="U300" s="7"/>
      <c r="V300" s="7"/>
      <c r="W300" s="7"/>
      <c r="X300" s="7"/>
      <c r="Y300" s="7"/>
      <c r="Z300" s="9" t="s">
        <v>6</v>
      </c>
    </row>
    <row r="301" spans="1:43" ht="28" customHeight="1">
      <c r="A301" s="3"/>
      <c r="W301" s="8" t="s">
        <v>6</v>
      </c>
    </row>
    <row r="302" spans="1:43" ht="28" customHeight="1">
      <c r="A302" s="3"/>
      <c r="B302" s="2" t="s">
        <v>45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ht="28" customHeight="1">
      <c r="A303" s="3" t="s">
        <v>171</v>
      </c>
      <c r="C303" s="4" t="s">
        <v>134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 t="s">
        <v>135</v>
      </c>
      <c r="V303" s="4"/>
      <c r="W303" s="4"/>
      <c r="X303" s="4"/>
      <c r="Y303" s="4"/>
      <c r="Z303" s="4"/>
      <c r="AA303" s="4"/>
    </row>
    <row r="304" spans="1:43" ht="28" customHeight="1">
      <c r="A304" s="3"/>
      <c r="C304" s="5">
        <v>0</v>
      </c>
      <c r="D304" s="5">
        <v>1</v>
      </c>
      <c r="E304" s="5">
        <v>2</v>
      </c>
      <c r="F304" s="5">
        <v>3</v>
      </c>
      <c r="G304" s="5">
        <v>4</v>
      </c>
      <c r="H304" s="5">
        <v>5</v>
      </c>
      <c r="I304" s="5">
        <v>6</v>
      </c>
      <c r="J304" s="5">
        <v>7</v>
      </c>
      <c r="K304" s="5">
        <v>8</v>
      </c>
      <c r="L304" s="5">
        <v>9</v>
      </c>
      <c r="M304" s="5">
        <v>10</v>
      </c>
      <c r="N304" s="5">
        <v>11</v>
      </c>
      <c r="O304" s="5">
        <v>12</v>
      </c>
      <c r="P304" s="5">
        <v>13</v>
      </c>
      <c r="Q304" s="5">
        <v>14</v>
      </c>
      <c r="R304" s="5">
        <v>15</v>
      </c>
      <c r="U304" s="5">
        <v>0</v>
      </c>
      <c r="V304" s="5">
        <v>1</v>
      </c>
      <c r="W304" s="5">
        <v>2</v>
      </c>
      <c r="X304" s="5">
        <v>3</v>
      </c>
      <c r="Y304" s="5">
        <v>4</v>
      </c>
    </row>
    <row r="305" spans="1:43" ht="28" customHeight="1">
      <c r="A305" s="3"/>
      <c r="B305" s="6">
        <v>0</v>
      </c>
      <c r="C305" s="7">
        <v>-0.028718</v>
      </c>
      <c r="D305" s="7">
        <v>-0.572505</v>
      </c>
      <c r="E305" s="7">
        <v>-0.197919</v>
      </c>
      <c r="F305" s="7">
        <v>-0.882729</v>
      </c>
      <c r="G305" s="7">
        <v>-0.242054</v>
      </c>
      <c r="H305" s="7">
        <v>0.970618</v>
      </c>
      <c r="I305" s="7">
        <v>-0.469594</v>
      </c>
      <c r="J305" s="7">
        <v>0.568141</v>
      </c>
      <c r="K305" s="7">
        <v>-0.08998299999999999</v>
      </c>
      <c r="L305" s="7">
        <v>-0.153985</v>
      </c>
      <c r="M305" s="7">
        <v>0.914635</v>
      </c>
      <c r="N305" s="7">
        <v>0.990845</v>
      </c>
      <c r="O305" s="7">
        <v>0.111537</v>
      </c>
      <c r="P305" s="7">
        <v>0.436817</v>
      </c>
      <c r="Q305" s="7">
        <v>-0.690406</v>
      </c>
      <c r="R305" s="7">
        <v>-0.406584</v>
      </c>
      <c r="T305" s="6">
        <v>0</v>
      </c>
      <c r="U305" s="7" cm="1">
        <f t="array" ref="U305">MMULT(step_13_weight,step_12_output)</f>
        <v>0</v>
      </c>
      <c r="V305" s="7"/>
      <c r="W305" s="7"/>
      <c r="X305" s="7"/>
      <c r="Y305" s="7"/>
      <c r="Z305" s="9" t="s">
        <v>4</v>
      </c>
      <c r="AC305" s="10" t="s">
        <v>46</v>
      </c>
    </row>
    <row r="306" spans="1:43" ht="28" customHeight="1">
      <c r="A306" s="3"/>
      <c r="B306" s="6">
        <v>1</v>
      </c>
      <c r="C306" s="7">
        <v>0.937419</v>
      </c>
      <c r="D306" s="7">
        <v>0.158361</v>
      </c>
      <c r="E306" s="7">
        <v>0.08439000000000001</v>
      </c>
      <c r="F306" s="7">
        <v>0.495951</v>
      </c>
      <c r="G306" s="7">
        <v>-0.885669</v>
      </c>
      <c r="H306" s="7">
        <v>0.168355</v>
      </c>
      <c r="I306" s="7">
        <v>0.005701</v>
      </c>
      <c r="J306" s="7">
        <v>0.70544</v>
      </c>
      <c r="K306" s="7">
        <v>-0.685135</v>
      </c>
      <c r="L306" s="7">
        <v>0.921558</v>
      </c>
      <c r="M306" s="7">
        <v>-0.839777</v>
      </c>
      <c r="N306" s="7">
        <v>-0.62835</v>
      </c>
      <c r="O306" s="7">
        <v>0.19007</v>
      </c>
      <c r="P306" s="7">
        <v>0.350425</v>
      </c>
      <c r="Q306" s="7">
        <v>-0.529592</v>
      </c>
      <c r="R306" s="7">
        <v>-0.760227</v>
      </c>
      <c r="T306" s="6">
        <v>1</v>
      </c>
      <c r="U306" s="7"/>
      <c r="V306" s="7"/>
      <c r="W306" s="7"/>
      <c r="X306" s="7"/>
      <c r="Y306" s="7"/>
      <c r="Z306" s="11" t="s">
        <v>5</v>
      </c>
      <c r="AC306" s="10" t="s">
        <v>47</v>
      </c>
    </row>
    <row r="307" spans="1:43" ht="28" customHeight="1">
      <c r="A307" s="3"/>
      <c r="B307" s="6">
        <v>2</v>
      </c>
      <c r="C307" s="7">
        <v>0.780575</v>
      </c>
      <c r="D307" s="7">
        <v>-0.507569</v>
      </c>
      <c r="E307" s="7">
        <v>0.189038</v>
      </c>
      <c r="F307" s="7">
        <v>0.238763</v>
      </c>
      <c r="G307" s="7">
        <v>-0.16155</v>
      </c>
      <c r="H307" s="7">
        <v>0.167345</v>
      </c>
      <c r="I307" s="7">
        <v>0.045565</v>
      </c>
      <c r="J307" s="7">
        <v>0.869413</v>
      </c>
      <c r="K307" s="7">
        <v>-0.591482</v>
      </c>
      <c r="L307" s="7">
        <v>0.432384</v>
      </c>
      <c r="M307" s="7">
        <v>-0.522628</v>
      </c>
      <c r="N307" s="7">
        <v>-0.208428</v>
      </c>
      <c r="O307" s="7">
        <v>0.34338</v>
      </c>
      <c r="P307" s="7">
        <v>-0.400006</v>
      </c>
      <c r="Q307" s="7">
        <v>-0.367646</v>
      </c>
      <c r="R307" s="7">
        <v>0.503729</v>
      </c>
      <c r="S307" s="12" t="s">
        <v>80</v>
      </c>
      <c r="T307" s="6">
        <v>2</v>
      </c>
      <c r="U307" s="7"/>
      <c r="V307" s="7"/>
      <c r="W307" s="7"/>
      <c r="X307" s="7"/>
      <c r="Y307" s="7"/>
      <c r="Z307" s="11"/>
    </row>
    <row r="308" spans="1:43" ht="28" customHeight="1">
      <c r="A308" s="3"/>
      <c r="B308" s="6">
        <v>3</v>
      </c>
      <c r="C308" s="7">
        <v>-0.854914</v>
      </c>
      <c r="D308" s="7">
        <v>-0.083429</v>
      </c>
      <c r="E308" s="7">
        <v>0.996909</v>
      </c>
      <c r="F308" s="7">
        <v>0.992193</v>
      </c>
      <c r="G308" s="7">
        <v>-0.853479</v>
      </c>
      <c r="H308" s="7">
        <v>-0.573691</v>
      </c>
      <c r="I308" s="7">
        <v>-0.469599</v>
      </c>
      <c r="J308" s="7">
        <v>0.866519</v>
      </c>
      <c r="K308" s="7">
        <v>0.761728</v>
      </c>
      <c r="L308" s="7">
        <v>0.75854</v>
      </c>
      <c r="M308" s="7">
        <v>-0.260946</v>
      </c>
      <c r="N308" s="7">
        <v>-0.6845059999999999</v>
      </c>
      <c r="O308" s="7">
        <v>0.66749</v>
      </c>
      <c r="P308" s="7">
        <v>0.40708</v>
      </c>
      <c r="Q308" s="7">
        <v>0.223356</v>
      </c>
      <c r="R308" s="7">
        <v>0.9744660000000001</v>
      </c>
      <c r="T308" s="6">
        <v>3</v>
      </c>
      <c r="U308" s="7"/>
      <c r="V308" s="7"/>
      <c r="W308" s="7"/>
      <c r="X308" s="7"/>
      <c r="Y308" s="7"/>
      <c r="Z308" s="9" t="s">
        <v>6</v>
      </c>
    </row>
    <row r="309" spans="1:43" ht="28" customHeight="1">
      <c r="A309" s="3"/>
      <c r="W309" s="8" t="s">
        <v>6</v>
      </c>
    </row>
    <row r="310" spans="1:43" ht="28" customHeight="1">
      <c r="A310" s="3"/>
      <c r="B310" s="2" t="s">
        <v>48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ht="28" customHeight="1">
      <c r="A311" s="3" t="s">
        <v>172</v>
      </c>
      <c r="N311" s="4" t="s">
        <v>136</v>
      </c>
      <c r="O311" s="4"/>
      <c r="P311" s="4"/>
      <c r="Q311" s="4"/>
      <c r="R311" s="4"/>
      <c r="S311" s="4"/>
      <c r="T311" s="4"/>
      <c r="U311" s="4" t="s">
        <v>137</v>
      </c>
      <c r="V311" s="4"/>
      <c r="W311" s="4"/>
      <c r="X311" s="4"/>
      <c r="Y311" s="4"/>
      <c r="Z311" s="4"/>
      <c r="AA311" s="4"/>
    </row>
    <row r="312" spans="1:43" ht="28" customHeight="1">
      <c r="A312" s="3"/>
      <c r="N312" s="5">
        <v>0</v>
      </c>
      <c r="O312" s="5">
        <v>1</v>
      </c>
      <c r="P312" s="5">
        <v>2</v>
      </c>
      <c r="Q312" s="5">
        <v>3</v>
      </c>
      <c r="R312" s="5">
        <v>4</v>
      </c>
      <c r="U312" s="5">
        <v>0</v>
      </c>
      <c r="V312" s="5">
        <v>1</v>
      </c>
      <c r="W312" s="5">
        <v>2</v>
      </c>
      <c r="X312" s="5">
        <v>3</v>
      </c>
      <c r="Y312" s="5">
        <v>4</v>
      </c>
    </row>
    <row r="313" spans="1:43" ht="28" customHeight="1">
      <c r="A313" s="3"/>
      <c r="M313" s="6">
        <v>0</v>
      </c>
      <c r="N313" s="7" cm="1">
        <f t="array" ref="N313">step_02_output</f>
        <v>0</v>
      </c>
      <c r="O313" s="7"/>
      <c r="P313" s="7"/>
      <c r="Q313" s="7"/>
      <c r="R313" s="7"/>
      <c r="T313" s="6">
        <v>0</v>
      </c>
      <c r="U313" s="7" cm="1">
        <f t="array" ref="U313">step_14_residual+step_13_output</f>
        <v>0</v>
      </c>
      <c r="V313" s="7"/>
      <c r="W313" s="7"/>
      <c r="X313" s="7"/>
      <c r="Y313" s="7"/>
      <c r="Z313" s="9" t="s">
        <v>4</v>
      </c>
      <c r="AC313" s="10" t="s">
        <v>49</v>
      </c>
    </row>
    <row r="314" spans="1:43" ht="28" customHeight="1">
      <c r="A314" s="3"/>
      <c r="M314" s="6">
        <v>1</v>
      </c>
      <c r="N314" s="7"/>
      <c r="O314" s="7"/>
      <c r="P314" s="7"/>
      <c r="Q314" s="7"/>
      <c r="R314" s="7"/>
      <c r="T314" s="6">
        <v>1</v>
      </c>
      <c r="U314" s="7"/>
      <c r="V314" s="7"/>
      <c r="W314" s="7"/>
      <c r="X314" s="7"/>
      <c r="Y314" s="7"/>
      <c r="Z314" s="11" t="s">
        <v>5</v>
      </c>
      <c r="AC314" s="10" t="s">
        <v>50</v>
      </c>
    </row>
    <row r="315" spans="1:43" ht="28" customHeight="1">
      <c r="A315" s="3"/>
      <c r="M315" s="6">
        <v>2</v>
      </c>
      <c r="N315" s="7"/>
      <c r="O315" s="7"/>
      <c r="P315" s="7"/>
      <c r="Q315" s="7"/>
      <c r="R315" s="7"/>
      <c r="S315" s="12" t="s">
        <v>80</v>
      </c>
      <c r="T315" s="6">
        <v>2</v>
      </c>
      <c r="U315" s="7"/>
      <c r="V315" s="7"/>
      <c r="W315" s="7"/>
      <c r="X315" s="7"/>
      <c r="Y315" s="7"/>
      <c r="Z315" s="11"/>
    </row>
    <row r="316" spans="1:43" ht="28" customHeight="1">
      <c r="A316" s="3"/>
      <c r="M316" s="6">
        <v>3</v>
      </c>
      <c r="N316" s="7"/>
      <c r="O316" s="7"/>
      <c r="P316" s="7"/>
      <c r="Q316" s="7"/>
      <c r="R316" s="7"/>
      <c r="T316" s="6">
        <v>3</v>
      </c>
      <c r="U316" s="7"/>
      <c r="V316" s="7"/>
      <c r="W316" s="7"/>
      <c r="X316" s="7"/>
      <c r="Y316" s="7"/>
      <c r="Z316" s="9" t="s">
        <v>6</v>
      </c>
    </row>
    <row r="317" spans="1:43" ht="28" customHeight="1">
      <c r="A317" s="3"/>
      <c r="W317" s="8" t="s">
        <v>6</v>
      </c>
    </row>
    <row r="318" spans="1:43" ht="28" customHeight="1">
      <c r="A318" s="3"/>
      <c r="B318" s="2" t="s">
        <v>51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ht="28" customHeight="1">
      <c r="A319" s="3" t="s">
        <v>173</v>
      </c>
      <c r="U319" s="4" t="s">
        <v>138</v>
      </c>
      <c r="V319" s="4"/>
      <c r="W319" s="4"/>
      <c r="X319" s="4"/>
      <c r="Y319" s="4"/>
      <c r="Z319" s="4"/>
      <c r="AA319" s="4"/>
    </row>
    <row r="320" spans="1:43" ht="28" customHeight="1">
      <c r="A320" s="3"/>
      <c r="U320" s="5">
        <v>0</v>
      </c>
      <c r="V320" s="5">
        <v>1</v>
      </c>
      <c r="W320" s="5">
        <v>2</v>
      </c>
      <c r="X320" s="5">
        <v>3</v>
      </c>
      <c r="Y320" s="5">
        <v>4</v>
      </c>
    </row>
    <row r="321" spans="1:29" ht="28" customHeight="1">
      <c r="A321" s="3"/>
      <c r="T321" s="6">
        <v>0</v>
      </c>
      <c r="U321" s="7" cm="1">
        <f t="array" ref="U321">_xlfn.BYCOL(step_14_output,_xlfn.LAMBDA(_xlpm.x,SQRT(SUMSQ(_xlpm.x)/ROWS(step_14_output)+epsilon)))</f>
        <v>0</v>
      </c>
      <c r="V321" s="7"/>
      <c r="W321" s="7"/>
      <c r="X321" s="7"/>
      <c r="Y321" s="7"/>
    </row>
    <row r="322" spans="1:29" ht="28" customHeight="1">
      <c r="A322" s="3"/>
      <c r="W322" s="13" t="s">
        <v>6</v>
      </c>
    </row>
    <row r="323" spans="1:29" ht="28" customHeight="1">
      <c r="A323" s="3"/>
      <c r="U323" s="4" t="s">
        <v>139</v>
      </c>
      <c r="V323" s="4"/>
      <c r="W323" s="4"/>
      <c r="X323" s="4"/>
      <c r="Y323" s="4"/>
      <c r="Z323" s="4"/>
      <c r="AA323" s="4"/>
    </row>
    <row r="324" spans="1:29" ht="28" customHeight="1">
      <c r="A324" s="3"/>
      <c r="U324" s="5">
        <v>0</v>
      </c>
      <c r="V324" s="5">
        <v>1</v>
      </c>
      <c r="W324" s="5">
        <v>2</v>
      </c>
      <c r="X324" s="5">
        <v>3</v>
      </c>
      <c r="Y324" s="5">
        <v>4</v>
      </c>
    </row>
    <row r="325" spans="1:29" ht="28" customHeight="1">
      <c r="A325" s="3"/>
      <c r="T325" s="6">
        <v>0</v>
      </c>
      <c r="U325" s="7" cm="1">
        <f t="array" ref="U325">step_14_output/step_15_rms</f>
        <v>0</v>
      </c>
      <c r="V325" s="7"/>
      <c r="W325" s="7"/>
      <c r="X325" s="7"/>
      <c r="Y325" s="7"/>
    </row>
    <row r="326" spans="1:29" ht="28" customHeight="1">
      <c r="A326" s="3"/>
      <c r="T326" s="6">
        <v>1</v>
      </c>
      <c r="U326" s="7"/>
      <c r="V326" s="7"/>
      <c r="W326" s="7"/>
      <c r="X326" s="7"/>
      <c r="Y326" s="7"/>
    </row>
    <row r="327" spans="1:29" ht="28" customHeight="1">
      <c r="A327" s="3"/>
      <c r="T327" s="6">
        <v>2</v>
      </c>
      <c r="U327" s="7"/>
      <c r="V327" s="7"/>
      <c r="W327" s="7"/>
      <c r="X327" s="7"/>
      <c r="Y327" s="7"/>
    </row>
    <row r="328" spans="1:29" ht="28" customHeight="1">
      <c r="A328" s="3"/>
      <c r="T328" s="6">
        <v>3</v>
      </c>
      <c r="U328" s="7"/>
      <c r="V328" s="7"/>
      <c r="W328" s="7"/>
      <c r="X328" s="7"/>
      <c r="Y328" s="7"/>
    </row>
    <row r="329" spans="1:29" ht="28" customHeight="1">
      <c r="A329" s="3"/>
      <c r="W329" s="13" t="s">
        <v>6</v>
      </c>
    </row>
    <row r="330" spans="1:29" ht="28" customHeight="1">
      <c r="A330" s="3"/>
      <c r="R330" s="4" t="s">
        <v>140</v>
      </c>
      <c r="S330" s="4"/>
      <c r="T330" s="4"/>
      <c r="U330" s="4" t="s">
        <v>141</v>
      </c>
      <c r="V330" s="4"/>
      <c r="W330" s="4"/>
      <c r="X330" s="4"/>
      <c r="Y330" s="4"/>
      <c r="Z330" s="4"/>
      <c r="AA330" s="4"/>
    </row>
    <row r="331" spans="1:29" ht="28" customHeight="1">
      <c r="A331" s="3"/>
      <c r="U331" s="5">
        <v>0</v>
      </c>
      <c r="V331" s="5">
        <v>1</v>
      </c>
      <c r="W331" s="5">
        <v>2</v>
      </c>
      <c r="X331" s="5">
        <v>3</v>
      </c>
      <c r="Y331" s="5">
        <v>4</v>
      </c>
    </row>
    <row r="332" spans="1:29" ht="28" customHeight="1">
      <c r="A332" s="3"/>
      <c r="Q332" s="6">
        <v>0</v>
      </c>
      <c r="R332" s="7">
        <v>1.153976</v>
      </c>
      <c r="T332" s="6">
        <v>0</v>
      </c>
      <c r="U332" s="7" cm="1">
        <f t="array" ref="U332">step_15_scale*step_15_normalized</f>
        <v>0</v>
      </c>
      <c r="V332" s="7"/>
      <c r="W332" s="7"/>
      <c r="X332" s="7"/>
      <c r="Y332" s="7"/>
      <c r="Z332" s="9" t="s">
        <v>4</v>
      </c>
      <c r="AC332" s="10" t="s">
        <v>52</v>
      </c>
    </row>
    <row r="333" spans="1:29" ht="28" customHeight="1">
      <c r="A333" s="3"/>
      <c r="Q333" s="6">
        <v>1</v>
      </c>
      <c r="R333" s="7">
        <v>0.507823</v>
      </c>
      <c r="T333" s="6">
        <v>1</v>
      </c>
      <c r="U333" s="7"/>
      <c r="V333" s="7"/>
      <c r="W333" s="7"/>
      <c r="X333" s="7"/>
      <c r="Y333" s="7"/>
      <c r="Z333" s="11" t="s">
        <v>5</v>
      </c>
      <c r="AC333" s="10" t="s">
        <v>53</v>
      </c>
    </row>
    <row r="334" spans="1:29" ht="28" customHeight="1">
      <c r="A334" s="3"/>
      <c r="Q334" s="6">
        <v>2</v>
      </c>
      <c r="R334" s="7">
        <v>1.317104</v>
      </c>
      <c r="S334" s="12" t="s">
        <v>80</v>
      </c>
      <c r="T334" s="6">
        <v>2</v>
      </c>
      <c r="U334" s="7"/>
      <c r="V334" s="7"/>
      <c r="W334" s="7"/>
      <c r="X334" s="7"/>
      <c r="Y334" s="7"/>
      <c r="Z334" s="11"/>
    </row>
    <row r="335" spans="1:29" ht="28" customHeight="1">
      <c r="A335" s="3"/>
      <c r="Q335" s="6">
        <v>3</v>
      </c>
      <c r="R335" s="7">
        <v>0.799379</v>
      </c>
      <c r="T335" s="6">
        <v>3</v>
      </c>
      <c r="U335" s="7"/>
      <c r="V335" s="7"/>
      <c r="W335" s="7"/>
      <c r="X335" s="7"/>
      <c r="Y335" s="7"/>
      <c r="Z335" s="9" t="s">
        <v>6</v>
      </c>
    </row>
    <row r="336" spans="1:29" ht="28" customHeight="1">
      <c r="A336" s="3"/>
      <c r="W336" s="8" t="s">
        <v>6</v>
      </c>
    </row>
    <row r="337" spans="1:43" ht="28" customHeight="1">
      <c r="A337" s="3"/>
      <c r="B337" s="2" t="s">
        <v>54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ht="28" customHeight="1">
      <c r="A338" s="3" t="s">
        <v>174</v>
      </c>
      <c r="O338" s="4" t="s">
        <v>142</v>
      </c>
      <c r="P338" s="4"/>
      <c r="Q338" s="4"/>
      <c r="R338" s="4"/>
      <c r="S338" s="4"/>
      <c r="T338" s="4"/>
      <c r="U338" s="4" t="s">
        <v>143</v>
      </c>
      <c r="V338" s="4"/>
      <c r="W338" s="4"/>
      <c r="X338" s="4"/>
      <c r="Y338" s="4"/>
      <c r="Z338" s="4"/>
      <c r="AA338" s="4"/>
    </row>
    <row r="339" spans="1:43" ht="28" customHeight="1">
      <c r="A339" s="3"/>
      <c r="O339" s="5">
        <v>0</v>
      </c>
      <c r="P339" s="5">
        <v>1</v>
      </c>
      <c r="Q339" s="5">
        <v>2</v>
      </c>
      <c r="R339" s="5">
        <v>3</v>
      </c>
      <c r="U339" s="5">
        <v>0</v>
      </c>
      <c r="V339" s="5">
        <v>1</v>
      </c>
      <c r="W339" s="5">
        <v>2</v>
      </c>
      <c r="X339" s="5">
        <v>3</v>
      </c>
      <c r="Y339" s="5">
        <v>4</v>
      </c>
    </row>
    <row r="340" spans="1:43" ht="28" customHeight="1">
      <c r="A340" s="3"/>
      <c r="N340" s="6">
        <v>0</v>
      </c>
      <c r="O340" s="7">
        <v>0.326777</v>
      </c>
      <c r="P340" s="7">
        <v>0.87786</v>
      </c>
      <c r="Q340" s="7">
        <v>-0.731418</v>
      </c>
      <c r="R340" s="7">
        <v>-0.769143</v>
      </c>
      <c r="T340" s="6">
        <v>0</v>
      </c>
      <c r="U340" s="7" cm="1">
        <f t="array" ref="U340">MMULT(step_16_weight,step_15_output)</f>
        <v>0</v>
      </c>
      <c r="V340" s="7"/>
      <c r="W340" s="7"/>
      <c r="X340" s="7"/>
      <c r="Y340" s="7"/>
      <c r="Z340" s="9" t="s">
        <v>4</v>
      </c>
      <c r="AC340" s="10" t="s">
        <v>55</v>
      </c>
    </row>
    <row r="341" spans="1:43" ht="28" customHeight="1">
      <c r="A341" s="3"/>
      <c r="N341" s="6">
        <v>1</v>
      </c>
      <c r="O341" s="7">
        <v>-0.785928</v>
      </c>
      <c r="P341" s="7">
        <v>0.106447</v>
      </c>
      <c r="Q341" s="7">
        <v>-0.455304</v>
      </c>
      <c r="R341" s="7">
        <v>0.20966</v>
      </c>
      <c r="T341" s="6">
        <v>1</v>
      </c>
      <c r="U341" s="7"/>
      <c r="V341" s="7"/>
      <c r="W341" s="7"/>
      <c r="X341" s="7"/>
      <c r="Y341" s="7"/>
      <c r="Z341" s="11" t="s">
        <v>57</v>
      </c>
      <c r="AC341" s="10" t="s">
        <v>56</v>
      </c>
    </row>
    <row r="342" spans="1:43" ht="28" customHeight="1">
      <c r="A342" s="3"/>
      <c r="N342" s="6">
        <v>2</v>
      </c>
      <c r="O342" s="7">
        <v>0.435224</v>
      </c>
      <c r="P342" s="7">
        <v>-0.592805</v>
      </c>
      <c r="Q342" s="7">
        <v>0.268476</v>
      </c>
      <c r="R342" s="7">
        <v>-0.472032</v>
      </c>
      <c r="T342" s="6">
        <v>2</v>
      </c>
      <c r="U342" s="7"/>
      <c r="V342" s="7"/>
      <c r="W342" s="7"/>
      <c r="X342" s="7"/>
      <c r="Y342" s="7"/>
      <c r="Z342" s="11"/>
    </row>
    <row r="343" spans="1:43" ht="28" customHeight="1">
      <c r="A343" s="3"/>
      <c r="N343" s="6">
        <v>3</v>
      </c>
      <c r="O343" s="7">
        <v>-0.022936</v>
      </c>
      <c r="P343" s="7">
        <v>0.810673</v>
      </c>
      <c r="Q343" s="7">
        <v>0.692207</v>
      </c>
      <c r="R343" s="7">
        <v>-0.815403</v>
      </c>
      <c r="S343" s="12" t="s">
        <v>80</v>
      </c>
      <c r="T343" s="6">
        <v>3</v>
      </c>
      <c r="U343" s="7"/>
      <c r="V343" s="7"/>
      <c r="W343" s="7"/>
      <c r="X343" s="7"/>
      <c r="Y343" s="7"/>
      <c r="Z343" s="11"/>
    </row>
    <row r="344" spans="1:43" ht="28" customHeight="1">
      <c r="A344" s="3"/>
      <c r="N344" s="6">
        <v>4</v>
      </c>
      <c r="O344" s="7">
        <v>-0.152848</v>
      </c>
      <c r="P344" s="7">
        <v>-0.44664</v>
      </c>
      <c r="Q344" s="7">
        <v>-0.992909</v>
      </c>
      <c r="R344" s="7">
        <v>0.542238</v>
      </c>
      <c r="T344" s="6">
        <v>4</v>
      </c>
      <c r="U344" s="7"/>
      <c r="V344" s="7"/>
      <c r="W344" s="7"/>
      <c r="X344" s="7"/>
      <c r="Y344" s="7"/>
      <c r="Z344" s="11"/>
    </row>
    <row r="345" spans="1:43" ht="28" customHeight="1">
      <c r="A345" s="3"/>
      <c r="N345" s="6">
        <v>5</v>
      </c>
      <c r="O345" s="7">
        <v>0.274227</v>
      </c>
      <c r="P345" s="7">
        <v>-0.476089</v>
      </c>
      <c r="Q345" s="7">
        <v>0.482462</v>
      </c>
      <c r="R345" s="7">
        <v>0.103361</v>
      </c>
      <c r="T345" s="6">
        <v>5</v>
      </c>
      <c r="U345" s="7"/>
      <c r="V345" s="7"/>
      <c r="W345" s="7"/>
      <c r="X345" s="7"/>
      <c r="Y345" s="7"/>
      <c r="Z345" s="9" t="s">
        <v>6</v>
      </c>
    </row>
    <row r="346" spans="1:43" ht="28" customHeight="1">
      <c r="A346" s="3"/>
    </row>
    <row r="347" spans="1:43" ht="28" customHeight="1">
      <c r="A347" s="3"/>
      <c r="B347" s="2" t="s">
        <v>58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ht="28" customHeight="1">
      <c r="A348" s="3" t="s">
        <v>175</v>
      </c>
      <c r="O348" s="4" t="s">
        <v>144</v>
      </c>
      <c r="P348" s="4"/>
      <c r="Q348" s="4"/>
      <c r="R348" s="4"/>
      <c r="S348" s="4"/>
      <c r="T348" s="4"/>
      <c r="U348" s="4" t="s">
        <v>145</v>
      </c>
      <c r="V348" s="4"/>
      <c r="W348" s="4"/>
      <c r="X348" s="4"/>
      <c r="Y348" s="4"/>
      <c r="Z348" s="4"/>
      <c r="AA348" s="4"/>
    </row>
    <row r="349" spans="1:43" ht="28" customHeight="1">
      <c r="A349" s="3"/>
      <c r="O349" s="5">
        <v>0</v>
      </c>
      <c r="P349" s="5">
        <v>1</v>
      </c>
      <c r="Q349" s="5">
        <v>2</v>
      </c>
      <c r="R349" s="5">
        <v>3</v>
      </c>
      <c r="U349" s="5">
        <v>0</v>
      </c>
      <c r="V349" s="5">
        <v>1</v>
      </c>
      <c r="W349" s="5">
        <v>2</v>
      </c>
      <c r="X349" s="5">
        <v>3</v>
      </c>
      <c r="Y349" s="5">
        <v>4</v>
      </c>
    </row>
    <row r="350" spans="1:43" ht="28" customHeight="1">
      <c r="A350" s="3"/>
      <c r="N350" s="6">
        <v>0</v>
      </c>
      <c r="O350" s="7">
        <v>-0.144626</v>
      </c>
      <c r="P350" s="7">
        <v>-0.980661</v>
      </c>
      <c r="Q350" s="7">
        <v>-0.849512</v>
      </c>
      <c r="R350" s="7">
        <v>0.766213</v>
      </c>
      <c r="T350" s="6">
        <v>0</v>
      </c>
      <c r="U350" s="7" cm="1">
        <f t="array" ref="U350">MMULT(step_17_weight,step_15_output)</f>
        <v>0</v>
      </c>
      <c r="V350" s="7"/>
      <c r="W350" s="7"/>
      <c r="X350" s="7"/>
      <c r="Y350" s="7"/>
      <c r="Z350" s="9" t="s">
        <v>4</v>
      </c>
      <c r="AC350" s="10" t="s">
        <v>59</v>
      </c>
    </row>
    <row r="351" spans="1:43" ht="28" customHeight="1">
      <c r="A351" s="3"/>
      <c r="N351" s="6">
        <v>1</v>
      </c>
      <c r="O351" s="7">
        <v>0.807857</v>
      </c>
      <c r="P351" s="7">
        <v>0.091181</v>
      </c>
      <c r="Q351" s="7">
        <v>0.66919</v>
      </c>
      <c r="R351" s="7">
        <v>0.165019</v>
      </c>
      <c r="T351" s="6">
        <v>1</v>
      </c>
      <c r="U351" s="7"/>
      <c r="V351" s="7"/>
      <c r="W351" s="7"/>
      <c r="X351" s="7"/>
      <c r="Y351" s="7"/>
      <c r="Z351" s="11" t="s">
        <v>57</v>
      </c>
      <c r="AC351" s="10" t="s">
        <v>60</v>
      </c>
    </row>
    <row r="352" spans="1:43" ht="28" customHeight="1">
      <c r="A352" s="3"/>
      <c r="N352" s="6">
        <v>2</v>
      </c>
      <c r="O352" s="7">
        <v>-0.703812</v>
      </c>
      <c r="P352" s="7">
        <v>-0.745109</v>
      </c>
      <c r="Q352" s="7">
        <v>-0.383483</v>
      </c>
      <c r="R352" s="7">
        <v>0.797963</v>
      </c>
      <c r="T352" s="6">
        <v>2</v>
      </c>
      <c r="U352" s="7"/>
      <c r="V352" s="7"/>
      <c r="W352" s="7"/>
      <c r="X352" s="7"/>
      <c r="Y352" s="7"/>
      <c r="Z352" s="11"/>
    </row>
    <row r="353" spans="1:43" ht="28" customHeight="1">
      <c r="A353" s="3"/>
      <c r="N353" s="6">
        <v>3</v>
      </c>
      <c r="O353" s="7">
        <v>0.592245</v>
      </c>
      <c r="P353" s="7">
        <v>0.721405</v>
      </c>
      <c r="Q353" s="7">
        <v>0.797849</v>
      </c>
      <c r="R353" s="7">
        <v>-0.579847</v>
      </c>
      <c r="S353" s="12" t="s">
        <v>80</v>
      </c>
      <c r="T353" s="6">
        <v>3</v>
      </c>
      <c r="U353" s="7"/>
      <c r="V353" s="7"/>
      <c r="W353" s="7"/>
      <c r="X353" s="7"/>
      <c r="Y353" s="7"/>
      <c r="Z353" s="11"/>
    </row>
    <row r="354" spans="1:43" ht="28" customHeight="1">
      <c r="A354" s="3"/>
      <c r="N354" s="6">
        <v>4</v>
      </c>
      <c r="O354" s="7">
        <v>-0.500941</v>
      </c>
      <c r="P354" s="7">
        <v>-0.794413</v>
      </c>
      <c r="Q354" s="7">
        <v>0.560232</v>
      </c>
      <c r="R354" s="7">
        <v>0.768269</v>
      </c>
      <c r="T354" s="6">
        <v>4</v>
      </c>
      <c r="U354" s="7"/>
      <c r="V354" s="7"/>
      <c r="W354" s="7"/>
      <c r="X354" s="7"/>
      <c r="Y354" s="7"/>
      <c r="Z354" s="11"/>
    </row>
    <row r="355" spans="1:43" ht="28" customHeight="1">
      <c r="A355" s="3"/>
      <c r="N355" s="6">
        <v>5</v>
      </c>
      <c r="O355" s="7">
        <v>-0.187245</v>
      </c>
      <c r="P355" s="7">
        <v>0.241323</v>
      </c>
      <c r="Q355" s="7">
        <v>-0.690893</v>
      </c>
      <c r="R355" s="7">
        <v>0.859762</v>
      </c>
      <c r="T355" s="6">
        <v>5</v>
      </c>
      <c r="U355" s="7"/>
      <c r="V355" s="7"/>
      <c r="W355" s="7"/>
      <c r="X355" s="7"/>
      <c r="Y355" s="7"/>
      <c r="Z355" s="9" t="s">
        <v>6</v>
      </c>
    </row>
    <row r="356" spans="1:43" ht="28" customHeight="1">
      <c r="A356" s="3"/>
      <c r="W356" s="8" t="s">
        <v>6</v>
      </c>
    </row>
    <row r="357" spans="1:43" ht="28" customHeight="1">
      <c r="A357" s="3"/>
      <c r="B357" s="2" t="s">
        <v>61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ht="28" customHeight="1">
      <c r="A358" s="3" t="s">
        <v>176</v>
      </c>
      <c r="N358" s="4" t="s">
        <v>146</v>
      </c>
      <c r="O358" s="4"/>
      <c r="P358" s="4"/>
      <c r="Q358" s="4"/>
      <c r="R358" s="4"/>
      <c r="S358" s="4"/>
      <c r="T358" s="4"/>
      <c r="U358" s="4" t="s">
        <v>147</v>
      </c>
      <c r="V358" s="4"/>
      <c r="W358" s="4"/>
      <c r="X358" s="4"/>
      <c r="Y358" s="4"/>
      <c r="Z358" s="4"/>
      <c r="AA358" s="4"/>
    </row>
    <row r="359" spans="1:43" ht="28" customHeight="1">
      <c r="A359" s="3"/>
      <c r="N359" s="5">
        <v>0</v>
      </c>
      <c r="O359" s="5">
        <v>1</v>
      </c>
      <c r="P359" s="5">
        <v>2</v>
      </c>
      <c r="Q359" s="5">
        <v>3</v>
      </c>
      <c r="R359" s="5">
        <v>4</v>
      </c>
      <c r="U359" s="5">
        <v>0</v>
      </c>
      <c r="V359" s="5">
        <v>1</v>
      </c>
      <c r="W359" s="5">
        <v>2</v>
      </c>
      <c r="X359" s="5">
        <v>3</v>
      </c>
      <c r="Y359" s="5">
        <v>4</v>
      </c>
    </row>
    <row r="360" spans="1:43" ht="28" customHeight="1">
      <c r="A360" s="3"/>
      <c r="M360" s="6">
        <v>0</v>
      </c>
      <c r="N360" s="7" cm="1">
        <f t="array" ref="N360">step_16_output</f>
        <v>0</v>
      </c>
      <c r="O360" s="7"/>
      <c r="P360" s="7"/>
      <c r="Q360" s="7"/>
      <c r="R360" s="7"/>
      <c r="T360" s="6">
        <v>0</v>
      </c>
      <c r="U360" s="7" cm="1">
        <f t="array" ref="U360">step_18_gate/(1+EXP(-step_18_gate))</f>
        <v>0</v>
      </c>
      <c r="V360" s="7"/>
      <c r="W360" s="7"/>
      <c r="X360" s="7"/>
      <c r="Y360" s="7"/>
    </row>
    <row r="361" spans="1:43" ht="28" customHeight="1">
      <c r="A361" s="3"/>
      <c r="M361" s="6">
        <v>1</v>
      </c>
      <c r="N361" s="7"/>
      <c r="O361" s="7"/>
      <c r="P361" s="7"/>
      <c r="Q361" s="7"/>
      <c r="R361" s="7"/>
      <c r="T361" s="6">
        <v>1</v>
      </c>
      <c r="U361" s="7"/>
      <c r="V361" s="7"/>
      <c r="W361" s="7"/>
      <c r="X361" s="7"/>
      <c r="Y361" s="7"/>
    </row>
    <row r="362" spans="1:43" ht="28" customHeight="1">
      <c r="A362" s="3"/>
      <c r="M362" s="6">
        <v>2</v>
      </c>
      <c r="N362" s="7"/>
      <c r="O362" s="7"/>
      <c r="P362" s="7"/>
      <c r="Q362" s="7"/>
      <c r="R362" s="7"/>
      <c r="T362" s="6">
        <v>2</v>
      </c>
      <c r="U362" s="7"/>
      <c r="V362" s="7"/>
      <c r="W362" s="7"/>
      <c r="X362" s="7"/>
      <c r="Y362" s="7"/>
    </row>
    <row r="363" spans="1:43" ht="28" customHeight="1">
      <c r="A363" s="3"/>
      <c r="M363" s="6">
        <v>3</v>
      </c>
      <c r="N363" s="7"/>
      <c r="O363" s="7"/>
      <c r="P363" s="7"/>
      <c r="Q363" s="7"/>
      <c r="R363" s="7"/>
      <c r="S363" s="12" t="s">
        <v>80</v>
      </c>
      <c r="T363" s="6">
        <v>3</v>
      </c>
      <c r="U363" s="7"/>
      <c r="V363" s="7"/>
      <c r="W363" s="7"/>
      <c r="X363" s="7"/>
      <c r="Y363" s="7"/>
    </row>
    <row r="364" spans="1:43" ht="28" customHeight="1">
      <c r="A364" s="3"/>
      <c r="M364" s="6">
        <v>4</v>
      </c>
      <c r="N364" s="7"/>
      <c r="O364" s="7"/>
      <c r="P364" s="7"/>
      <c r="Q364" s="7"/>
      <c r="R364" s="7"/>
      <c r="T364" s="6">
        <v>4</v>
      </c>
      <c r="U364" s="7"/>
      <c r="V364" s="7"/>
      <c r="W364" s="7"/>
      <c r="X364" s="7"/>
      <c r="Y364" s="7"/>
    </row>
    <row r="365" spans="1:43" ht="28" customHeight="1">
      <c r="A365" s="3"/>
      <c r="M365" s="6">
        <v>5</v>
      </c>
      <c r="N365" s="7"/>
      <c r="O365" s="7"/>
      <c r="P365" s="7"/>
      <c r="Q365" s="7"/>
      <c r="R365" s="7"/>
      <c r="T365" s="6">
        <v>5</v>
      </c>
      <c r="U365" s="7"/>
      <c r="V365" s="7"/>
      <c r="W365" s="7"/>
      <c r="X365" s="7"/>
      <c r="Y365" s="7"/>
    </row>
    <row r="366" spans="1:43" ht="28" customHeight="1">
      <c r="A366" s="3"/>
      <c r="U366" s="4" t="s">
        <v>148</v>
      </c>
      <c r="V366" s="4"/>
      <c r="W366" s="13" t="s">
        <v>6</v>
      </c>
      <c r="X366" s="4"/>
      <c r="Y366" s="4"/>
      <c r="Z366" s="4"/>
      <c r="AA366" s="4"/>
    </row>
    <row r="367" spans="1:43" ht="28" customHeight="1">
      <c r="A367" s="3"/>
      <c r="U367" s="5">
        <v>0</v>
      </c>
      <c r="V367" s="5">
        <v>1</v>
      </c>
      <c r="W367" s="5">
        <v>2</v>
      </c>
      <c r="X367" s="5">
        <v>3</v>
      </c>
      <c r="Y367" s="5">
        <v>4</v>
      </c>
    </row>
    <row r="368" spans="1:43" ht="28" customHeight="1">
      <c r="A368" s="3"/>
      <c r="T368" s="6">
        <v>0</v>
      </c>
      <c r="U368" s="7" cm="1">
        <f t="array" ref="U368">step_18_activated*step_17_output</f>
        <v>0</v>
      </c>
      <c r="V368" s="7"/>
      <c r="W368" s="7"/>
      <c r="X368" s="7"/>
      <c r="Y368" s="7"/>
      <c r="Z368" s="9" t="s">
        <v>4</v>
      </c>
      <c r="AC368" s="10" t="s">
        <v>62</v>
      </c>
    </row>
    <row r="369" spans="1:43" ht="28" customHeight="1">
      <c r="A369" s="3"/>
      <c r="T369" s="6">
        <v>1</v>
      </c>
      <c r="U369" s="7"/>
      <c r="V369" s="7"/>
      <c r="W369" s="7"/>
      <c r="X369" s="7"/>
      <c r="Y369" s="7"/>
      <c r="Z369" s="11" t="s">
        <v>57</v>
      </c>
      <c r="AC369" s="10" t="s">
        <v>63</v>
      </c>
    </row>
    <row r="370" spans="1:43" ht="28" customHeight="1">
      <c r="A370" s="3"/>
      <c r="T370" s="6">
        <v>2</v>
      </c>
      <c r="U370" s="7"/>
      <c r="V370" s="7"/>
      <c r="W370" s="7"/>
      <c r="X370" s="7"/>
      <c r="Y370" s="7"/>
      <c r="Z370" s="11"/>
    </row>
    <row r="371" spans="1:43" ht="28" customHeight="1">
      <c r="A371" s="3"/>
      <c r="T371" s="6">
        <v>3</v>
      </c>
      <c r="U371" s="7"/>
      <c r="V371" s="7"/>
      <c r="W371" s="7"/>
      <c r="X371" s="7"/>
      <c r="Y371" s="7"/>
      <c r="Z371" s="11"/>
    </row>
    <row r="372" spans="1:43" ht="28" customHeight="1">
      <c r="A372" s="3"/>
      <c r="T372" s="6">
        <v>4</v>
      </c>
      <c r="U372" s="7"/>
      <c r="V372" s="7"/>
      <c r="W372" s="7"/>
      <c r="X372" s="7"/>
      <c r="Y372" s="7"/>
      <c r="Z372" s="11"/>
    </row>
    <row r="373" spans="1:43" ht="28" customHeight="1">
      <c r="A373" s="3"/>
      <c r="T373" s="6">
        <v>5</v>
      </c>
      <c r="U373" s="7"/>
      <c r="V373" s="7"/>
      <c r="W373" s="7"/>
      <c r="X373" s="7"/>
      <c r="Y373" s="7"/>
      <c r="Z373" s="9" t="s">
        <v>6</v>
      </c>
    </row>
    <row r="374" spans="1:43" ht="28" customHeight="1">
      <c r="A374" s="3"/>
      <c r="W374" s="8" t="s">
        <v>6</v>
      </c>
    </row>
    <row r="375" spans="1:43" ht="28" customHeight="1">
      <c r="A375" s="3"/>
      <c r="B375" s="2" t="s">
        <v>64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ht="28" customHeight="1">
      <c r="A376" s="3" t="s">
        <v>177</v>
      </c>
      <c r="M376" s="4" t="s">
        <v>149</v>
      </c>
      <c r="N376" s="4"/>
      <c r="O376" s="4"/>
      <c r="P376" s="4"/>
      <c r="Q376" s="4"/>
      <c r="R376" s="4"/>
      <c r="S376" s="4"/>
      <c r="T376" s="4"/>
      <c r="U376" s="4" t="s">
        <v>150</v>
      </c>
      <c r="V376" s="4"/>
      <c r="W376" s="4"/>
      <c r="X376" s="4"/>
      <c r="Y376" s="4"/>
      <c r="Z376" s="4"/>
      <c r="AA376" s="4"/>
    </row>
    <row r="377" spans="1:43" ht="28" customHeight="1">
      <c r="A377" s="3"/>
      <c r="M377" s="5">
        <v>0</v>
      </c>
      <c r="N377" s="5">
        <v>1</v>
      </c>
      <c r="O377" s="5">
        <v>2</v>
      </c>
      <c r="P377" s="5">
        <v>3</v>
      </c>
      <c r="Q377" s="5">
        <v>4</v>
      </c>
      <c r="R377" s="5">
        <v>5</v>
      </c>
      <c r="U377" s="5">
        <v>0</v>
      </c>
      <c r="V377" s="5">
        <v>1</v>
      </c>
      <c r="W377" s="5">
        <v>2</v>
      </c>
      <c r="X377" s="5">
        <v>3</v>
      </c>
      <c r="Y377" s="5">
        <v>4</v>
      </c>
    </row>
    <row r="378" spans="1:43" ht="28" customHeight="1">
      <c r="A378" s="3"/>
      <c r="L378" s="6">
        <v>0</v>
      </c>
      <c r="M378" s="7">
        <v>0.7292110000000001</v>
      </c>
      <c r="N378" s="7">
        <v>0.952412</v>
      </c>
      <c r="O378" s="7">
        <v>0.621543</v>
      </c>
      <c r="P378" s="7">
        <v>0.762832</v>
      </c>
      <c r="Q378" s="7">
        <v>-0.950427</v>
      </c>
      <c r="R378" s="7">
        <v>0.473129</v>
      </c>
      <c r="T378" s="6">
        <v>0</v>
      </c>
      <c r="U378" s="7" cm="1">
        <f t="array" ref="U378">MMULT(step_19_weight,step_18_output)</f>
        <v>0</v>
      </c>
      <c r="V378" s="7"/>
      <c r="W378" s="7"/>
      <c r="X378" s="7"/>
      <c r="Y378" s="7"/>
      <c r="Z378" s="9" t="s">
        <v>4</v>
      </c>
      <c r="AC378" s="10" t="s">
        <v>65</v>
      </c>
    </row>
    <row r="379" spans="1:43" ht="28" customHeight="1">
      <c r="A379" s="3"/>
      <c r="L379" s="6">
        <v>1</v>
      </c>
      <c r="M379" s="7">
        <v>-0.335629</v>
      </c>
      <c r="N379" s="7">
        <v>0.861632</v>
      </c>
      <c r="O379" s="7">
        <v>0.60447</v>
      </c>
      <c r="P379" s="7">
        <v>0.728128</v>
      </c>
      <c r="Q379" s="7">
        <v>0.621499</v>
      </c>
      <c r="R379" s="7">
        <v>-0.466389</v>
      </c>
      <c r="T379" s="6">
        <v>1</v>
      </c>
      <c r="U379" s="7"/>
      <c r="V379" s="7"/>
      <c r="W379" s="7"/>
      <c r="X379" s="7"/>
      <c r="Y379" s="7"/>
      <c r="Z379" s="11" t="s">
        <v>5</v>
      </c>
      <c r="AC379" s="10" t="s">
        <v>66</v>
      </c>
    </row>
    <row r="380" spans="1:43" ht="28" customHeight="1">
      <c r="A380" s="3"/>
      <c r="L380" s="6">
        <v>2</v>
      </c>
      <c r="M380" s="7">
        <v>0.574749</v>
      </c>
      <c r="N380" s="7">
        <v>-0.783809</v>
      </c>
      <c r="O380" s="7">
        <v>0.7443340000000001</v>
      </c>
      <c r="P380" s="7">
        <v>0.717187</v>
      </c>
      <c r="Q380" s="7">
        <v>-0.555133</v>
      </c>
      <c r="R380" s="7">
        <v>0.633173</v>
      </c>
      <c r="S380" s="12" t="s">
        <v>80</v>
      </c>
      <c r="T380" s="6">
        <v>2</v>
      </c>
      <c r="U380" s="7"/>
      <c r="V380" s="7"/>
      <c r="W380" s="7"/>
      <c r="X380" s="7"/>
      <c r="Y380" s="7"/>
      <c r="Z380" s="11"/>
    </row>
    <row r="381" spans="1:43" ht="28" customHeight="1">
      <c r="A381" s="3"/>
      <c r="L381" s="6">
        <v>3</v>
      </c>
      <c r="M381" s="7">
        <v>-0.07939400000000001</v>
      </c>
      <c r="N381" s="7">
        <v>-0.389618</v>
      </c>
      <c r="O381" s="7">
        <v>0.590691</v>
      </c>
      <c r="P381" s="7">
        <v>-0.544809</v>
      </c>
      <c r="Q381" s="7">
        <v>-0.952671</v>
      </c>
      <c r="R381" s="7">
        <v>-0.61374</v>
      </c>
      <c r="T381" s="6">
        <v>3</v>
      </c>
      <c r="U381" s="7"/>
      <c r="V381" s="7"/>
      <c r="W381" s="7"/>
      <c r="X381" s="7"/>
      <c r="Y381" s="7"/>
      <c r="Z381" s="9" t="s">
        <v>6</v>
      </c>
    </row>
    <row r="382" spans="1:43" ht="28" customHeight="1">
      <c r="A382" s="3"/>
      <c r="W382" s="8" t="s">
        <v>6</v>
      </c>
    </row>
    <row r="383" spans="1:43" ht="28" customHeight="1">
      <c r="A383" s="3"/>
      <c r="B383" s="2" t="s">
        <v>67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ht="28" customHeight="1">
      <c r="A384" s="3" t="s">
        <v>178</v>
      </c>
      <c r="N384" s="4" t="s">
        <v>151</v>
      </c>
      <c r="O384" s="4"/>
      <c r="P384" s="4"/>
      <c r="Q384" s="4"/>
      <c r="R384" s="4"/>
      <c r="S384" s="4"/>
      <c r="T384" s="4"/>
      <c r="U384" s="4" t="s">
        <v>152</v>
      </c>
      <c r="V384" s="4"/>
      <c r="W384" s="4"/>
      <c r="X384" s="4"/>
      <c r="Y384" s="4"/>
      <c r="Z384" s="4"/>
      <c r="AA384" s="4"/>
    </row>
    <row r="385" spans="1:43" ht="28" customHeight="1">
      <c r="A385" s="3"/>
      <c r="N385" s="5">
        <v>0</v>
      </c>
      <c r="O385" s="5">
        <v>1</v>
      </c>
      <c r="P385" s="5">
        <v>2</v>
      </c>
      <c r="Q385" s="5">
        <v>3</v>
      </c>
      <c r="R385" s="5">
        <v>4</v>
      </c>
      <c r="U385" s="5">
        <v>0</v>
      </c>
      <c r="V385" s="5">
        <v>1</v>
      </c>
      <c r="W385" s="5">
        <v>2</v>
      </c>
      <c r="X385" s="5">
        <v>3</v>
      </c>
      <c r="Y385" s="5">
        <v>4</v>
      </c>
    </row>
    <row r="386" spans="1:43" ht="28" customHeight="1">
      <c r="A386" s="3"/>
      <c r="M386" s="6">
        <v>0</v>
      </c>
      <c r="N386" s="7" cm="1">
        <f t="array" ref="N386">step_14_output</f>
        <v>0</v>
      </c>
      <c r="O386" s="7"/>
      <c r="P386" s="7"/>
      <c r="Q386" s="7"/>
      <c r="R386" s="7"/>
      <c r="T386" s="6">
        <v>0</v>
      </c>
      <c r="U386" s="7" cm="1">
        <f t="array" ref="U386">step_20_residual+step_19_output</f>
        <v>0</v>
      </c>
      <c r="V386" s="7"/>
      <c r="W386" s="7"/>
      <c r="X386" s="7"/>
      <c r="Y386" s="7"/>
      <c r="Z386" s="9" t="s">
        <v>4</v>
      </c>
      <c r="AC386" s="10" t="s">
        <v>68</v>
      </c>
    </row>
    <row r="387" spans="1:43" ht="28" customHeight="1">
      <c r="A387" s="3"/>
      <c r="M387" s="6">
        <v>1</v>
      </c>
      <c r="N387" s="7"/>
      <c r="O387" s="7"/>
      <c r="P387" s="7"/>
      <c r="Q387" s="7"/>
      <c r="R387" s="7"/>
      <c r="T387" s="6">
        <v>1</v>
      </c>
      <c r="U387" s="7"/>
      <c r="V387" s="7"/>
      <c r="W387" s="7"/>
      <c r="X387" s="7"/>
      <c r="Y387" s="7"/>
      <c r="Z387" s="11" t="s">
        <v>5</v>
      </c>
      <c r="AC387" s="10" t="s">
        <v>69</v>
      </c>
    </row>
    <row r="388" spans="1:43" ht="28" customHeight="1">
      <c r="A388" s="3"/>
      <c r="M388" s="6">
        <v>2</v>
      </c>
      <c r="N388" s="7"/>
      <c r="O388" s="7"/>
      <c r="P388" s="7"/>
      <c r="Q388" s="7"/>
      <c r="R388" s="7"/>
      <c r="S388" s="12" t="s">
        <v>80</v>
      </c>
      <c r="T388" s="6">
        <v>2</v>
      </c>
      <c r="U388" s="7"/>
      <c r="V388" s="7"/>
      <c r="W388" s="7"/>
      <c r="X388" s="7"/>
      <c r="Y388" s="7"/>
      <c r="Z388" s="11"/>
    </row>
    <row r="389" spans="1:43" ht="28" customHeight="1">
      <c r="A389" s="3"/>
      <c r="M389" s="6">
        <v>3</v>
      </c>
      <c r="N389" s="7"/>
      <c r="O389" s="7"/>
      <c r="P389" s="7"/>
      <c r="Q389" s="7"/>
      <c r="R389" s="7"/>
      <c r="T389" s="6">
        <v>3</v>
      </c>
      <c r="U389" s="7"/>
      <c r="V389" s="7"/>
      <c r="W389" s="7"/>
      <c r="X389" s="7"/>
      <c r="Y389" s="7"/>
      <c r="Z389" s="9" t="s">
        <v>6</v>
      </c>
    </row>
    <row r="390" spans="1:43" ht="28" customHeight="1">
      <c r="A390" s="3"/>
      <c r="W390" s="8" t="s">
        <v>6</v>
      </c>
    </row>
    <row r="391" spans="1:43" ht="28" customHeight="1">
      <c r="A391" s="3"/>
      <c r="B391" s="2" t="s">
        <v>70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ht="28" customHeight="1">
      <c r="A392" s="3" t="s">
        <v>179</v>
      </c>
      <c r="U392" s="4" t="s">
        <v>153</v>
      </c>
      <c r="V392" s="4"/>
      <c r="W392" s="4"/>
      <c r="X392" s="4"/>
      <c r="Y392" s="4"/>
      <c r="Z392" s="4"/>
      <c r="AA392" s="4"/>
    </row>
    <row r="393" spans="1:43" ht="28" customHeight="1">
      <c r="A393" s="3"/>
      <c r="U393" s="5">
        <v>0</v>
      </c>
      <c r="V393" s="5">
        <v>1</v>
      </c>
      <c r="W393" s="5">
        <v>2</v>
      </c>
      <c r="X393" s="5">
        <v>3</v>
      </c>
      <c r="Y393" s="5">
        <v>4</v>
      </c>
    </row>
    <row r="394" spans="1:43" ht="28" customHeight="1">
      <c r="A394" s="3"/>
      <c r="T394" s="6">
        <v>0</v>
      </c>
      <c r="U394" s="7" cm="1">
        <f t="array" ref="U394">_xlfn.BYCOL(step_20_output,_xlfn.LAMBDA(_xlpm.x,SQRT(SUMSQ(_xlpm.x)/ROWS(step_20_output)+epsilon)))</f>
        <v>0</v>
      </c>
      <c r="V394" s="7"/>
      <c r="W394" s="7"/>
      <c r="X394" s="7"/>
      <c r="Y394" s="7"/>
    </row>
    <row r="395" spans="1:43" ht="28" customHeight="1">
      <c r="A395" s="3"/>
      <c r="W395" s="13" t="s">
        <v>6</v>
      </c>
    </row>
    <row r="396" spans="1:43" ht="28" customHeight="1">
      <c r="A396" s="3"/>
      <c r="U396" s="4" t="s">
        <v>154</v>
      </c>
      <c r="V396" s="4"/>
      <c r="W396" s="4"/>
      <c r="X396" s="4"/>
      <c r="Y396" s="4"/>
      <c r="Z396" s="4"/>
      <c r="AA396" s="4"/>
    </row>
    <row r="397" spans="1:43" ht="28" customHeight="1">
      <c r="A397" s="3"/>
      <c r="U397" s="5">
        <v>0</v>
      </c>
      <c r="V397" s="5">
        <v>1</v>
      </c>
      <c r="W397" s="5">
        <v>2</v>
      </c>
      <c r="X397" s="5">
        <v>3</v>
      </c>
      <c r="Y397" s="5">
        <v>4</v>
      </c>
    </row>
    <row r="398" spans="1:43" ht="28" customHeight="1">
      <c r="A398" s="3"/>
      <c r="T398" s="6">
        <v>0</v>
      </c>
      <c r="U398" s="7" cm="1">
        <f t="array" ref="U398">step_20_output/step_21_rms</f>
        <v>0</v>
      </c>
      <c r="V398" s="7"/>
      <c r="W398" s="7"/>
      <c r="X398" s="7"/>
      <c r="Y398" s="7"/>
    </row>
    <row r="399" spans="1:43" ht="28" customHeight="1">
      <c r="A399" s="3"/>
      <c r="T399" s="6">
        <v>1</v>
      </c>
      <c r="U399" s="7"/>
      <c r="V399" s="7"/>
      <c r="W399" s="7"/>
      <c r="X399" s="7"/>
      <c r="Y399" s="7"/>
    </row>
    <row r="400" spans="1:43" ht="28" customHeight="1">
      <c r="A400" s="3"/>
      <c r="T400" s="6">
        <v>2</v>
      </c>
      <c r="U400" s="7"/>
      <c r="V400" s="7"/>
      <c r="W400" s="7"/>
      <c r="X400" s="7"/>
      <c r="Y400" s="7"/>
    </row>
    <row r="401" spans="1:43" ht="28" customHeight="1">
      <c r="A401" s="3"/>
      <c r="T401" s="6">
        <v>3</v>
      </c>
      <c r="U401" s="7"/>
      <c r="V401" s="7"/>
      <c r="W401" s="7"/>
      <c r="X401" s="7"/>
      <c r="Y401" s="7"/>
    </row>
    <row r="402" spans="1:43" ht="28" customHeight="1">
      <c r="A402" s="3"/>
      <c r="W402" s="13" t="s">
        <v>6</v>
      </c>
    </row>
    <row r="403" spans="1:43" ht="28" customHeight="1">
      <c r="A403" s="3"/>
      <c r="R403" s="4" t="s">
        <v>155</v>
      </c>
      <c r="S403" s="4"/>
      <c r="T403" s="4"/>
      <c r="U403" s="4" t="s">
        <v>156</v>
      </c>
      <c r="V403" s="4"/>
      <c r="W403" s="4"/>
      <c r="X403" s="4"/>
      <c r="Y403" s="4"/>
      <c r="Z403" s="4"/>
      <c r="AA403" s="4"/>
    </row>
    <row r="404" spans="1:43" ht="28" customHeight="1">
      <c r="A404" s="3"/>
      <c r="U404" s="5">
        <v>0</v>
      </c>
      <c r="V404" s="5">
        <v>1</v>
      </c>
      <c r="W404" s="5">
        <v>2</v>
      </c>
      <c r="X404" s="5">
        <v>3</v>
      </c>
      <c r="Y404" s="5">
        <v>4</v>
      </c>
    </row>
    <row r="405" spans="1:43" ht="28" customHeight="1">
      <c r="A405" s="3"/>
      <c r="Q405" s="6">
        <v>0</v>
      </c>
      <c r="R405" s="7">
        <v>0.8282620000000001</v>
      </c>
      <c r="T405" s="6">
        <v>0</v>
      </c>
      <c r="U405" s="7" cm="1">
        <f t="array" ref="U405">step_21_scale*step_21_normalized</f>
        <v>0</v>
      </c>
      <c r="V405" s="7"/>
      <c r="W405" s="7"/>
      <c r="X405" s="7"/>
      <c r="Y405" s="7"/>
      <c r="Z405" s="9" t="s">
        <v>4</v>
      </c>
      <c r="AC405" s="10" t="s">
        <v>71</v>
      </c>
    </row>
    <row r="406" spans="1:43" ht="28" customHeight="1">
      <c r="A406" s="3"/>
      <c r="Q406" s="6">
        <v>1</v>
      </c>
      <c r="R406" s="7">
        <v>1.364353</v>
      </c>
      <c r="T406" s="6">
        <v>1</v>
      </c>
      <c r="U406" s="7"/>
      <c r="V406" s="7"/>
      <c r="W406" s="7"/>
      <c r="X406" s="7"/>
      <c r="Y406" s="7"/>
      <c r="Z406" s="11" t="s">
        <v>5</v>
      </c>
      <c r="AC406" s="10" t="s">
        <v>72</v>
      </c>
    </row>
    <row r="407" spans="1:43" ht="28" customHeight="1">
      <c r="A407" s="3"/>
      <c r="Q407" s="6">
        <v>2</v>
      </c>
      <c r="R407" s="7">
        <v>1.466889</v>
      </c>
      <c r="S407" s="12" t="s">
        <v>80</v>
      </c>
      <c r="T407" s="6">
        <v>2</v>
      </c>
      <c r="U407" s="7"/>
      <c r="V407" s="7"/>
      <c r="W407" s="7"/>
      <c r="X407" s="7"/>
      <c r="Y407" s="7"/>
      <c r="Z407" s="11"/>
    </row>
    <row r="408" spans="1:43" ht="28" customHeight="1">
      <c r="A408" s="3"/>
      <c r="Q408" s="6">
        <v>3</v>
      </c>
      <c r="R408" s="7">
        <v>0.779125</v>
      </c>
      <c r="T408" s="6">
        <v>3</v>
      </c>
      <c r="U408" s="7"/>
      <c r="V408" s="7"/>
      <c r="W408" s="7"/>
      <c r="X408" s="7"/>
      <c r="Y408" s="7"/>
      <c r="Z408" s="9" t="s">
        <v>6</v>
      </c>
    </row>
    <row r="409" spans="1:43" ht="28" customHeight="1">
      <c r="A409" s="3"/>
      <c r="W409" s="8" t="s">
        <v>6</v>
      </c>
    </row>
    <row r="410" spans="1:43" ht="28" customHeight="1">
      <c r="A410" s="3"/>
      <c r="B410" s="2" t="s">
        <v>73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ht="28" customHeight="1">
      <c r="A411" s="3" t="s">
        <v>180</v>
      </c>
      <c r="O411" s="4" t="s">
        <v>157</v>
      </c>
      <c r="P411" s="4"/>
      <c r="Q411" s="4"/>
      <c r="R411" s="4"/>
      <c r="S411" s="4"/>
      <c r="T411" s="4"/>
      <c r="U411" s="4" t="s">
        <v>158</v>
      </c>
      <c r="V411" s="4"/>
      <c r="W411" s="4"/>
      <c r="X411" s="4"/>
      <c r="Y411" s="4"/>
      <c r="Z411" s="4"/>
      <c r="AA411" s="4"/>
    </row>
    <row r="412" spans="1:43" ht="28" customHeight="1">
      <c r="A412" s="3"/>
      <c r="O412" s="5">
        <v>0</v>
      </c>
      <c r="P412" s="5">
        <v>1</v>
      </c>
      <c r="Q412" s="5">
        <v>2</v>
      </c>
      <c r="R412" s="5">
        <v>3</v>
      </c>
      <c r="U412" s="5">
        <v>0</v>
      </c>
      <c r="V412" s="5">
        <v>1</v>
      </c>
      <c r="W412" s="5">
        <v>2</v>
      </c>
      <c r="X412" s="5">
        <v>3</v>
      </c>
      <c r="Y412" s="5">
        <v>4</v>
      </c>
    </row>
    <row r="413" spans="1:43" ht="28" customHeight="1">
      <c r="A413" s="3"/>
      <c r="N413" s="6">
        <v>0</v>
      </c>
      <c r="O413" s="7" cm="1">
        <f t="array" ref="O413">TRANSPOSE(step_01_embedding_weight)</f>
        <v>0</v>
      </c>
      <c r="P413" s="7"/>
      <c r="Q413" s="7"/>
      <c r="R413" s="7"/>
      <c r="T413" s="6">
        <v>0</v>
      </c>
      <c r="U413" s="7" cm="1">
        <f t="array" ref="U413">MMULT(step_22_weight,step_21_output)</f>
        <v>0</v>
      </c>
      <c r="V413" s="7"/>
      <c r="W413" s="7"/>
      <c r="X413" s="7"/>
      <c r="Y413" s="7"/>
      <c r="Z413" s="9" t="s">
        <v>4</v>
      </c>
      <c r="AC413" s="10" t="s">
        <v>74</v>
      </c>
    </row>
    <row r="414" spans="1:43" ht="28" customHeight="1">
      <c r="A414" s="3"/>
      <c r="N414" s="6">
        <v>1</v>
      </c>
      <c r="O414" s="7"/>
      <c r="P414" s="7"/>
      <c r="Q414" s="7"/>
      <c r="R414" s="7"/>
      <c r="T414" s="6">
        <v>1</v>
      </c>
      <c r="U414" s="7"/>
      <c r="V414" s="7"/>
      <c r="W414" s="7"/>
      <c r="X414" s="7"/>
      <c r="Y414" s="7"/>
      <c r="Z414" s="11" t="s">
        <v>76</v>
      </c>
      <c r="AC414" s="10" t="s">
        <v>75</v>
      </c>
    </row>
    <row r="415" spans="1:43" ht="28" customHeight="1">
      <c r="A415" s="3"/>
      <c r="N415" s="6">
        <v>2</v>
      </c>
      <c r="O415" s="7"/>
      <c r="P415" s="7"/>
      <c r="Q415" s="7"/>
      <c r="R415" s="7"/>
      <c r="T415" s="6">
        <v>2</v>
      </c>
      <c r="U415" s="7"/>
      <c r="V415" s="7"/>
      <c r="W415" s="7"/>
      <c r="X415" s="7"/>
      <c r="Y415" s="7"/>
      <c r="Z415" s="11"/>
    </row>
    <row r="416" spans="1:43" ht="28" customHeight="1">
      <c r="A416" s="3"/>
      <c r="N416" s="6">
        <v>3</v>
      </c>
      <c r="O416" s="7"/>
      <c r="P416" s="7"/>
      <c r="Q416" s="7"/>
      <c r="R416" s="7"/>
      <c r="T416" s="6">
        <v>3</v>
      </c>
      <c r="U416" s="7"/>
      <c r="V416" s="7"/>
      <c r="W416" s="7"/>
      <c r="X416" s="7"/>
      <c r="Y416" s="7"/>
      <c r="Z416" s="11"/>
    </row>
    <row r="417" spans="1:26" ht="28" customHeight="1">
      <c r="A417" s="3"/>
      <c r="N417" s="6">
        <v>4</v>
      </c>
      <c r="O417" s="7"/>
      <c r="P417" s="7"/>
      <c r="Q417" s="7"/>
      <c r="R417" s="7"/>
      <c r="S417" s="12" t="s">
        <v>80</v>
      </c>
      <c r="T417" s="6">
        <v>4</v>
      </c>
      <c r="U417" s="7"/>
      <c r="V417" s="7"/>
      <c r="W417" s="7"/>
      <c r="X417" s="7"/>
      <c r="Y417" s="7"/>
      <c r="Z417" s="11"/>
    </row>
    <row r="418" spans="1:26" ht="28" customHeight="1">
      <c r="A418" s="3"/>
      <c r="N418" s="6">
        <v>5</v>
      </c>
      <c r="O418" s="7"/>
      <c r="P418" s="7"/>
      <c r="Q418" s="7"/>
      <c r="R418" s="7"/>
      <c r="T418" s="6">
        <v>5</v>
      </c>
      <c r="U418" s="7"/>
      <c r="V418" s="7"/>
      <c r="W418" s="7"/>
      <c r="X418" s="7"/>
      <c r="Y418" s="7"/>
      <c r="Z418" s="11"/>
    </row>
    <row r="419" spans="1:26" ht="28" customHeight="1">
      <c r="A419" s="3"/>
      <c r="N419" s="6">
        <v>6</v>
      </c>
      <c r="O419" s="7"/>
      <c r="P419" s="7"/>
      <c r="Q419" s="7"/>
      <c r="R419" s="7"/>
      <c r="T419" s="6">
        <v>6</v>
      </c>
      <c r="U419" s="7"/>
      <c r="V419" s="7"/>
      <c r="W419" s="7"/>
      <c r="X419" s="7"/>
      <c r="Y419" s="7"/>
      <c r="Z419" s="11"/>
    </row>
    <row r="420" spans="1:26" ht="28" customHeight="1">
      <c r="A420" s="3"/>
      <c r="N420" s="6">
        <v>7</v>
      </c>
      <c r="O420" s="7"/>
      <c r="P420" s="7"/>
      <c r="Q420" s="7"/>
      <c r="R420" s="7"/>
      <c r="T420" s="6">
        <v>7</v>
      </c>
      <c r="U420" s="7"/>
      <c r="V420" s="7"/>
      <c r="W420" s="7"/>
      <c r="X420" s="7"/>
      <c r="Y420" s="7"/>
      <c r="Z420" s="9" t="s">
        <v>6</v>
      </c>
    </row>
  </sheetData>
  <mergeCells count="44">
    <mergeCell ref="Z17:Z18"/>
    <mergeCell ref="Z25:Z26"/>
    <mergeCell ref="Z44:Z45"/>
    <mergeCell ref="Z52:Z57"/>
    <mergeCell ref="Z86:Z91"/>
    <mergeCell ref="Z98:Z103"/>
    <mergeCell ref="Z110:Z123"/>
    <mergeCell ref="Z168:Z181"/>
    <mergeCell ref="Z188:Z205"/>
    <mergeCell ref="Z242:Z259"/>
    <mergeCell ref="Z266:Z279"/>
    <mergeCell ref="Z286:Z299"/>
    <mergeCell ref="Z306:Z307"/>
    <mergeCell ref="Z314:Z315"/>
    <mergeCell ref="Z333:Z334"/>
    <mergeCell ref="Z341:Z344"/>
    <mergeCell ref="Z351:Z354"/>
    <mergeCell ref="Z369:Z372"/>
    <mergeCell ref="Z379:Z380"/>
    <mergeCell ref="Z387:Z388"/>
    <mergeCell ref="Z406:Z407"/>
    <mergeCell ref="Z414:Z419"/>
    <mergeCell ref="A3:A21"/>
    <mergeCell ref="A22:A29"/>
    <mergeCell ref="A30:A48"/>
    <mergeCell ref="A49:A60"/>
    <mergeCell ref="A61:A94"/>
    <mergeCell ref="A95:A106"/>
    <mergeCell ref="A107:A126"/>
    <mergeCell ref="A127:A184"/>
    <mergeCell ref="A185:A208"/>
    <mergeCell ref="A209:A262"/>
    <mergeCell ref="A263:A282"/>
    <mergeCell ref="A283:A302"/>
    <mergeCell ref="A303:A310"/>
    <mergeCell ref="A311:A318"/>
    <mergeCell ref="A319:A337"/>
    <mergeCell ref="A338:A347"/>
    <mergeCell ref="A348:A357"/>
    <mergeCell ref="A358:A375"/>
    <mergeCell ref="A376:A383"/>
    <mergeCell ref="A384:A391"/>
    <mergeCell ref="A392:A410"/>
    <mergeCell ref="A411:A420"/>
  </mergeCells>
  <conditionalFormatting sqref="C305">
    <cfRule type="expression" dxfId="0" priority="433">
      <formula>TRUE</formula>
    </cfRule>
  </conditionalFormatting>
  <conditionalFormatting sqref="C305:R308">
    <cfRule type="colorScale" priority="49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C306">
    <cfRule type="expression" dxfId="3" priority="449">
      <formula>TRUE</formula>
    </cfRule>
  </conditionalFormatting>
  <conditionalFormatting sqref="C307">
    <cfRule type="expression" dxfId="3" priority="451">
      <formula>TRUE</formula>
    </cfRule>
  </conditionalFormatting>
  <conditionalFormatting sqref="C308">
    <cfRule type="expression" dxfId="5" priority="453">
      <formula>TRUE</formula>
    </cfRule>
  </conditionalFormatting>
  <conditionalFormatting sqref="D305">
    <cfRule type="expression" dxfId="1" priority="434">
      <formula>TRUE</formula>
    </cfRule>
  </conditionalFormatting>
  <conditionalFormatting sqref="D308">
    <cfRule type="expression" dxfId="6" priority="454">
      <formula>TRUE</formula>
    </cfRule>
  </conditionalFormatting>
  <conditionalFormatting sqref="E148">
    <cfRule type="expression" dxfId="0" priority="303">
      <formula>TRUE</formula>
    </cfRule>
  </conditionalFormatting>
  <conditionalFormatting sqref="E148:F149">
    <cfRule type="colorScale" priority="31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E149">
    <cfRule type="expression" dxfId="5" priority="305">
      <formula>TRUE</formula>
    </cfRule>
  </conditionalFormatting>
  <conditionalFormatting sqref="E152">
    <cfRule type="expression" dxfId="0" priority="307">
      <formula>TRUE</formula>
    </cfRule>
  </conditionalFormatting>
  <conditionalFormatting sqref="E152:F153">
    <cfRule type="colorScale" priority="32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E153">
    <cfRule type="expression" dxfId="5" priority="309">
      <formula>TRUE</formula>
    </cfRule>
  </conditionalFormatting>
  <conditionalFormatting sqref="E305">
    <cfRule type="expression" dxfId="1" priority="435">
      <formula>TRUE</formula>
    </cfRule>
  </conditionalFormatting>
  <conditionalFormatting sqref="E308">
    <cfRule type="expression" dxfId="6" priority="455">
      <formula>TRUE</formula>
    </cfRule>
  </conditionalFormatting>
  <conditionalFormatting sqref="E74">
    <cfRule type="expression" dxfId="0" priority="203">
      <formula>TRUE</formula>
    </cfRule>
  </conditionalFormatting>
  <conditionalFormatting sqref="E74:F75">
    <cfRule type="colorScale" priority="14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E75">
    <cfRule type="expression" dxfId="5" priority="205">
      <formula>TRUE</formula>
    </cfRule>
  </conditionalFormatting>
  <conditionalFormatting sqref="E78">
    <cfRule type="expression" dxfId="0" priority="207">
      <formula>TRUE</formula>
    </cfRule>
  </conditionalFormatting>
  <conditionalFormatting sqref="E78:F79">
    <cfRule type="colorScale" priority="15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E79">
    <cfRule type="expression" dxfId="5" priority="209">
      <formula>TRUE</formula>
    </cfRule>
  </conditionalFormatting>
  <conditionalFormatting sqref="F148">
    <cfRule type="expression" dxfId="2" priority="304">
      <formula>TRUE</formula>
    </cfRule>
  </conditionalFormatting>
  <conditionalFormatting sqref="F149">
    <cfRule type="expression" dxfId="7" priority="306">
      <formula>TRUE</formula>
    </cfRule>
  </conditionalFormatting>
  <conditionalFormatting sqref="F152">
    <cfRule type="expression" dxfId="2" priority="308">
      <formula>TRUE</formula>
    </cfRule>
  </conditionalFormatting>
  <conditionalFormatting sqref="F153">
    <cfRule type="expression" dxfId="7" priority="310">
      <formula>TRUE</formula>
    </cfRule>
  </conditionalFormatting>
  <conditionalFormatting sqref="F305">
    <cfRule type="expression" dxfId="1" priority="436">
      <formula>TRUE</formula>
    </cfRule>
  </conditionalFormatting>
  <conditionalFormatting sqref="F308">
    <cfRule type="expression" dxfId="6" priority="456">
      <formula>TRUE</formula>
    </cfRule>
  </conditionalFormatting>
  <conditionalFormatting sqref="F74">
    <cfRule type="expression" dxfId="2" priority="204">
      <formula>TRUE</formula>
    </cfRule>
  </conditionalFormatting>
  <conditionalFormatting sqref="F75">
    <cfRule type="expression" dxfId="7" priority="206">
      <formula>TRUE</formula>
    </cfRule>
  </conditionalFormatting>
  <conditionalFormatting sqref="F78">
    <cfRule type="expression" dxfId="2" priority="208">
      <formula>TRUE</formula>
    </cfRule>
  </conditionalFormatting>
  <conditionalFormatting sqref="F79">
    <cfRule type="expression" dxfId="7" priority="210">
      <formula>TRUE</formula>
    </cfRule>
  </conditionalFormatting>
  <conditionalFormatting sqref="G305">
    <cfRule type="expression" dxfId="1" priority="437">
      <formula>TRUE</formula>
    </cfRule>
  </conditionalFormatting>
  <conditionalFormatting sqref="G308">
    <cfRule type="expression" dxfId="6" priority="457">
      <formula>TRUE</formula>
    </cfRule>
  </conditionalFormatting>
  <conditionalFormatting sqref="H148">
    <cfRule type="expression" dxfId="0" priority="311">
      <formula>TRUE</formula>
    </cfRule>
  </conditionalFormatting>
  <conditionalFormatting sqref="H148:I149">
    <cfRule type="colorScale" priority="3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H149">
    <cfRule type="expression" dxfId="5" priority="313">
      <formula>TRUE</formula>
    </cfRule>
  </conditionalFormatting>
  <conditionalFormatting sqref="H152">
    <cfRule type="expression" dxfId="0" priority="315">
      <formula>TRUE</formula>
    </cfRule>
  </conditionalFormatting>
  <conditionalFormatting sqref="H152:I153">
    <cfRule type="colorScale" priority="34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H153">
    <cfRule type="expression" dxfId="5" priority="317">
      <formula>TRUE</formula>
    </cfRule>
  </conditionalFormatting>
  <conditionalFormatting sqref="H305">
    <cfRule type="expression" dxfId="1" priority="438">
      <formula>TRUE</formula>
    </cfRule>
  </conditionalFormatting>
  <conditionalFormatting sqref="H308">
    <cfRule type="expression" dxfId="6" priority="458">
      <formula>TRUE</formula>
    </cfRule>
  </conditionalFormatting>
  <conditionalFormatting sqref="H74">
    <cfRule type="expression" dxfId="0" priority="211">
      <formula>TRUE</formula>
    </cfRule>
  </conditionalFormatting>
  <conditionalFormatting sqref="H74:I75">
    <cfRule type="colorScale" priority="16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H75">
    <cfRule type="expression" dxfId="5" priority="213">
      <formula>TRUE</formula>
    </cfRule>
  </conditionalFormatting>
  <conditionalFormatting sqref="H78">
    <cfRule type="expression" dxfId="0" priority="215">
      <formula>TRUE</formula>
    </cfRule>
  </conditionalFormatting>
  <conditionalFormatting sqref="H78:I79">
    <cfRule type="colorScale" priority="17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H79">
    <cfRule type="expression" dxfId="5" priority="217">
      <formula>TRUE</formula>
    </cfRule>
  </conditionalFormatting>
  <conditionalFormatting sqref="I148">
    <cfRule type="expression" dxfId="2" priority="312">
      <formula>TRUE</formula>
    </cfRule>
  </conditionalFormatting>
  <conditionalFormatting sqref="I149">
    <cfRule type="expression" dxfId="7" priority="314">
      <formula>TRUE</formula>
    </cfRule>
  </conditionalFormatting>
  <conditionalFormatting sqref="I152">
    <cfRule type="expression" dxfId="2" priority="316">
      <formula>TRUE</formula>
    </cfRule>
  </conditionalFormatting>
  <conditionalFormatting sqref="I153">
    <cfRule type="expression" dxfId="7" priority="318">
      <formula>TRUE</formula>
    </cfRule>
  </conditionalFormatting>
  <conditionalFormatting sqref="I305">
    <cfRule type="expression" dxfId="1" priority="439">
      <formula>TRUE</formula>
    </cfRule>
  </conditionalFormatting>
  <conditionalFormatting sqref="I308">
    <cfRule type="expression" dxfId="6" priority="459">
      <formula>TRUE</formula>
    </cfRule>
  </conditionalFormatting>
  <conditionalFormatting sqref="I74">
    <cfRule type="expression" dxfId="2" priority="212">
      <formula>TRUE</formula>
    </cfRule>
  </conditionalFormatting>
  <conditionalFormatting sqref="I75">
    <cfRule type="expression" dxfId="7" priority="214">
      <formula>TRUE</formula>
    </cfRule>
  </conditionalFormatting>
  <conditionalFormatting sqref="I78">
    <cfRule type="expression" dxfId="2" priority="216">
      <formula>TRUE</formula>
    </cfRule>
  </conditionalFormatting>
  <conditionalFormatting sqref="I79">
    <cfRule type="expression" dxfId="7" priority="218">
      <formula>TRUE</formula>
    </cfRule>
  </conditionalFormatting>
  <conditionalFormatting sqref="J305">
    <cfRule type="expression" dxfId="1" priority="440">
      <formula>TRUE</formula>
    </cfRule>
  </conditionalFormatting>
  <conditionalFormatting sqref="J308">
    <cfRule type="expression" dxfId="6" priority="460">
      <formula>TRUE</formula>
    </cfRule>
  </conditionalFormatting>
  <conditionalFormatting sqref="K148">
    <cfRule type="expression" dxfId="0" priority="319">
      <formula>TRUE</formula>
    </cfRule>
  </conditionalFormatting>
  <conditionalFormatting sqref="K148:L149">
    <cfRule type="colorScale" priority="35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K149">
    <cfRule type="expression" dxfId="5" priority="321">
      <formula>TRUE</formula>
    </cfRule>
  </conditionalFormatting>
  <conditionalFormatting sqref="K152">
    <cfRule type="expression" dxfId="0" priority="323">
      <formula>TRUE</formula>
    </cfRule>
  </conditionalFormatting>
  <conditionalFormatting sqref="K152:L153">
    <cfRule type="colorScale" priority="36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K153">
    <cfRule type="expression" dxfId="5" priority="325">
      <formula>TRUE</formula>
    </cfRule>
  </conditionalFormatting>
  <conditionalFormatting sqref="K16">
    <cfRule type="expression" dxfId="0" priority="74">
      <formula>TRUE</formula>
    </cfRule>
  </conditionalFormatting>
  <conditionalFormatting sqref="K16:R19">
    <cfRule type="colorScale" priority="1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K17">
    <cfRule type="expression" dxfId="3" priority="82">
      <formula>TRUE</formula>
    </cfRule>
  </conditionalFormatting>
  <conditionalFormatting sqref="K18">
    <cfRule type="expression" dxfId="3" priority="84">
      <formula>TRUE</formula>
    </cfRule>
  </conditionalFormatting>
  <conditionalFormatting sqref="K19">
    <cfRule type="expression" dxfId="5" priority="86">
      <formula>TRUE</formula>
    </cfRule>
  </conditionalFormatting>
  <conditionalFormatting sqref="K305">
    <cfRule type="expression" dxfId="1" priority="441">
      <formula>TRUE</formula>
    </cfRule>
  </conditionalFormatting>
  <conditionalFormatting sqref="K308">
    <cfRule type="expression" dxfId="6" priority="461">
      <formula>TRUE</formula>
    </cfRule>
  </conditionalFormatting>
  <conditionalFormatting sqref="K74">
    <cfRule type="expression" dxfId="0" priority="219">
      <formula>TRUE</formula>
    </cfRule>
  </conditionalFormatting>
  <conditionalFormatting sqref="K74:L75">
    <cfRule type="colorScale" priority="18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K75">
    <cfRule type="expression" dxfId="5" priority="221">
      <formula>TRUE</formula>
    </cfRule>
  </conditionalFormatting>
  <conditionalFormatting sqref="K78">
    <cfRule type="expression" dxfId="0" priority="223">
      <formula>TRUE</formula>
    </cfRule>
  </conditionalFormatting>
  <conditionalFormatting sqref="K78:L79">
    <cfRule type="colorScale" priority="19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K79">
    <cfRule type="expression" dxfId="5" priority="225">
      <formula>TRUE</formula>
    </cfRule>
  </conditionalFormatting>
  <conditionalFormatting sqref="L148">
    <cfRule type="expression" dxfId="2" priority="320">
      <formula>TRUE</formula>
    </cfRule>
  </conditionalFormatting>
  <conditionalFormatting sqref="L149">
    <cfRule type="expression" dxfId="7" priority="322">
      <formula>TRUE</formula>
    </cfRule>
  </conditionalFormatting>
  <conditionalFormatting sqref="L152">
    <cfRule type="expression" dxfId="2" priority="324">
      <formula>TRUE</formula>
    </cfRule>
  </conditionalFormatting>
  <conditionalFormatting sqref="L153">
    <cfRule type="expression" dxfId="7" priority="326">
      <formula>TRUE</formula>
    </cfRule>
  </conditionalFormatting>
  <conditionalFormatting sqref="L16">
    <cfRule type="expression" dxfId="1" priority="75">
      <formula>TRUE</formula>
    </cfRule>
  </conditionalFormatting>
  <conditionalFormatting sqref="L19">
    <cfRule type="expression" dxfId="6" priority="87">
      <formula>TRUE</formula>
    </cfRule>
  </conditionalFormatting>
  <conditionalFormatting sqref="L305">
    <cfRule type="expression" dxfId="1" priority="442">
      <formula>TRUE</formula>
    </cfRule>
  </conditionalFormatting>
  <conditionalFormatting sqref="L308">
    <cfRule type="expression" dxfId="6" priority="462">
      <formula>TRUE</formula>
    </cfRule>
  </conditionalFormatting>
  <conditionalFormatting sqref="L74">
    <cfRule type="expression" dxfId="2" priority="220">
      <formula>TRUE</formula>
    </cfRule>
  </conditionalFormatting>
  <conditionalFormatting sqref="L75">
    <cfRule type="expression" dxfId="7" priority="222">
      <formula>TRUE</formula>
    </cfRule>
  </conditionalFormatting>
  <conditionalFormatting sqref="L78">
    <cfRule type="expression" dxfId="2" priority="224">
      <formula>TRUE</formula>
    </cfRule>
  </conditionalFormatting>
  <conditionalFormatting sqref="L79">
    <cfRule type="expression" dxfId="7" priority="226">
      <formula>TRUE</formula>
    </cfRule>
  </conditionalFormatting>
  <conditionalFormatting sqref="M16">
    <cfRule type="expression" dxfId="1" priority="76">
      <formula>TRUE</formula>
    </cfRule>
  </conditionalFormatting>
  <conditionalFormatting sqref="M19">
    <cfRule type="expression" dxfId="6" priority="88">
      <formula>TRUE</formula>
    </cfRule>
  </conditionalFormatting>
  <conditionalFormatting sqref="M305">
    <cfRule type="expression" dxfId="1" priority="443">
      <formula>TRUE</formula>
    </cfRule>
  </conditionalFormatting>
  <conditionalFormatting sqref="M308">
    <cfRule type="expression" dxfId="6" priority="463">
      <formula>TRUE</formula>
    </cfRule>
  </conditionalFormatting>
  <conditionalFormatting sqref="M378">
    <cfRule type="expression" dxfId="0" priority="670">
      <formula>TRUE</formula>
    </cfRule>
  </conditionalFormatting>
  <conditionalFormatting sqref="M378:R381">
    <cfRule type="colorScale" priority="64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M379">
    <cfRule type="expression" dxfId="3" priority="676">
      <formula>TRUE</formula>
    </cfRule>
  </conditionalFormatting>
  <conditionalFormatting sqref="M380">
    <cfRule type="expression" dxfId="3" priority="678">
      <formula>TRUE</formula>
    </cfRule>
  </conditionalFormatting>
  <conditionalFormatting sqref="M381">
    <cfRule type="expression" dxfId="5" priority="680">
      <formula>TRUE</formula>
    </cfRule>
  </conditionalFormatting>
  <conditionalFormatting sqref="N148">
    <cfRule type="expression" dxfId="0" priority="327">
      <formula>TRUE</formula>
    </cfRule>
  </conditionalFormatting>
  <conditionalFormatting sqref="N148:O149">
    <cfRule type="colorScale" priority="37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149">
    <cfRule type="expression" dxfId="5" priority="329">
      <formula>TRUE</formula>
    </cfRule>
  </conditionalFormatting>
  <conditionalFormatting sqref="N152">
    <cfRule type="expression" dxfId="0" priority="331">
      <formula>TRUE</formula>
    </cfRule>
  </conditionalFormatting>
  <conditionalFormatting sqref="N152:O153">
    <cfRule type="colorScale" priority="38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153">
    <cfRule type="expression" dxfId="5" priority="333">
      <formula>TRUE</formula>
    </cfRule>
  </conditionalFormatting>
  <conditionalFormatting sqref="N16">
    <cfRule type="expression" dxfId="1" priority="77">
      <formula>TRUE</formula>
    </cfRule>
  </conditionalFormatting>
  <conditionalFormatting sqref="N19">
    <cfRule type="expression" dxfId="6" priority="89">
      <formula>TRUE</formula>
    </cfRule>
  </conditionalFormatting>
  <conditionalFormatting sqref="N265:R272">
    <cfRule type="colorScale" priority="46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305">
    <cfRule type="expression" dxfId="1" priority="444">
      <formula>TRUE</formula>
    </cfRule>
  </conditionalFormatting>
  <conditionalFormatting sqref="N308">
    <cfRule type="expression" dxfId="6" priority="464">
      <formula>TRUE</formula>
    </cfRule>
  </conditionalFormatting>
  <conditionalFormatting sqref="N313">
    <cfRule type="expression" dxfId="0" priority="483">
      <formula>TRUE</formula>
    </cfRule>
  </conditionalFormatting>
  <conditionalFormatting sqref="N313:R316">
    <cfRule type="colorScale" priority="51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314">
    <cfRule type="expression" dxfId="3" priority="488">
      <formula>TRUE</formula>
    </cfRule>
  </conditionalFormatting>
  <conditionalFormatting sqref="N315">
    <cfRule type="expression" dxfId="3" priority="490">
      <formula>TRUE</formula>
    </cfRule>
  </conditionalFormatting>
  <conditionalFormatting sqref="N316">
    <cfRule type="expression" dxfId="5" priority="492">
      <formula>TRUE</formula>
    </cfRule>
  </conditionalFormatting>
  <conditionalFormatting sqref="N360">
    <cfRule type="expression" dxfId="0" priority="616">
      <formula>TRUE</formula>
    </cfRule>
  </conditionalFormatting>
  <conditionalFormatting sqref="N360:R365">
    <cfRule type="colorScale" priority="61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361">
    <cfRule type="expression" dxfId="3" priority="621">
      <formula>TRUE</formula>
    </cfRule>
  </conditionalFormatting>
  <conditionalFormatting sqref="N362">
    <cfRule type="expression" dxfId="3" priority="623">
      <formula>TRUE</formula>
    </cfRule>
  </conditionalFormatting>
  <conditionalFormatting sqref="N363">
    <cfRule type="expression" dxfId="3" priority="625">
      <formula>TRUE</formula>
    </cfRule>
  </conditionalFormatting>
  <conditionalFormatting sqref="N364">
    <cfRule type="expression" dxfId="3" priority="627">
      <formula>TRUE</formula>
    </cfRule>
  </conditionalFormatting>
  <conditionalFormatting sqref="N365">
    <cfRule type="expression" dxfId="5" priority="629">
      <formula>TRUE</formula>
    </cfRule>
  </conditionalFormatting>
  <conditionalFormatting sqref="N378">
    <cfRule type="expression" dxfId="1" priority="671">
      <formula>TRUE</formula>
    </cfRule>
  </conditionalFormatting>
  <conditionalFormatting sqref="N381">
    <cfRule type="expression" dxfId="6" priority="681">
      <formula>TRUE</formula>
    </cfRule>
  </conditionalFormatting>
  <conditionalFormatting sqref="N386">
    <cfRule type="expression" dxfId="0" priority="700">
      <formula>TRUE</formula>
    </cfRule>
  </conditionalFormatting>
  <conditionalFormatting sqref="N386:R389">
    <cfRule type="colorScale" priority="66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387">
    <cfRule type="expression" dxfId="3" priority="705">
      <formula>TRUE</formula>
    </cfRule>
  </conditionalFormatting>
  <conditionalFormatting sqref="N388">
    <cfRule type="expression" dxfId="3" priority="707">
      <formula>TRUE</formula>
    </cfRule>
  </conditionalFormatting>
  <conditionalFormatting sqref="N389">
    <cfRule type="expression" dxfId="5" priority="709">
      <formula>TRUE</formula>
    </cfRule>
  </conditionalFormatting>
  <conditionalFormatting sqref="N74">
    <cfRule type="expression" dxfId="0" priority="227">
      <formula>TRUE</formula>
    </cfRule>
  </conditionalFormatting>
  <conditionalFormatting sqref="N74:O75">
    <cfRule type="colorScale" priority="20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75">
    <cfRule type="expression" dxfId="5" priority="229">
      <formula>TRUE</formula>
    </cfRule>
  </conditionalFormatting>
  <conditionalFormatting sqref="N78">
    <cfRule type="expression" dxfId="0" priority="231">
      <formula>TRUE</formula>
    </cfRule>
  </conditionalFormatting>
  <conditionalFormatting sqref="N78:O79">
    <cfRule type="colorScale" priority="21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N79">
    <cfRule type="expression" dxfId="5" priority="233">
      <formula>TRUE</formula>
    </cfRule>
  </conditionalFormatting>
  <conditionalFormatting sqref="O109:R124">
    <cfRule type="colorScale" priority="26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O148">
    <cfRule type="expression" dxfId="2" priority="328">
      <formula>TRUE</formula>
    </cfRule>
  </conditionalFormatting>
  <conditionalFormatting sqref="O149">
    <cfRule type="expression" dxfId="7" priority="330">
      <formula>TRUE</formula>
    </cfRule>
  </conditionalFormatting>
  <conditionalFormatting sqref="O152">
    <cfRule type="expression" dxfId="2" priority="332">
      <formula>TRUE</formula>
    </cfRule>
  </conditionalFormatting>
  <conditionalFormatting sqref="O153">
    <cfRule type="expression" dxfId="7" priority="334">
      <formula>TRUE</formula>
    </cfRule>
  </conditionalFormatting>
  <conditionalFormatting sqref="O16">
    <cfRule type="expression" dxfId="1" priority="78">
      <formula>TRUE</formula>
    </cfRule>
  </conditionalFormatting>
  <conditionalFormatting sqref="O187:R196">
    <cfRule type="colorScale" priority="41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O19">
    <cfRule type="expression" dxfId="6" priority="90">
      <formula>TRUE</formula>
    </cfRule>
  </conditionalFormatting>
  <conditionalFormatting sqref="O305">
    <cfRule type="expression" dxfId="1" priority="445">
      <formula>TRUE</formula>
    </cfRule>
  </conditionalFormatting>
  <conditionalFormatting sqref="O308">
    <cfRule type="expression" dxfId="6" priority="465">
      <formula>TRUE</formula>
    </cfRule>
  </conditionalFormatting>
  <conditionalFormatting sqref="O313">
    <cfRule type="expression" dxfId="1" priority="484">
      <formula>TRUE</formula>
    </cfRule>
  </conditionalFormatting>
  <conditionalFormatting sqref="O316">
    <cfRule type="expression" dxfId="6" priority="493">
      <formula>TRUE</formula>
    </cfRule>
  </conditionalFormatting>
  <conditionalFormatting sqref="O340">
    <cfRule type="expression" dxfId="0" priority="548">
      <formula>TRUE</formula>
    </cfRule>
  </conditionalFormatting>
  <conditionalFormatting sqref="O340:R345">
    <cfRule type="colorScale" priority="57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O341">
    <cfRule type="expression" dxfId="3" priority="552">
      <formula>TRUE</formula>
    </cfRule>
  </conditionalFormatting>
  <conditionalFormatting sqref="O342">
    <cfRule type="expression" dxfId="3" priority="554">
      <formula>TRUE</formula>
    </cfRule>
  </conditionalFormatting>
  <conditionalFormatting sqref="O343">
    <cfRule type="expression" dxfId="3" priority="556">
      <formula>TRUE</formula>
    </cfRule>
  </conditionalFormatting>
  <conditionalFormatting sqref="O344">
    <cfRule type="expression" dxfId="3" priority="558">
      <formula>TRUE</formula>
    </cfRule>
  </conditionalFormatting>
  <conditionalFormatting sqref="O345">
    <cfRule type="expression" dxfId="5" priority="560">
      <formula>TRUE</formula>
    </cfRule>
  </conditionalFormatting>
  <conditionalFormatting sqref="O350">
    <cfRule type="expression" dxfId="0" priority="582">
      <formula>TRUE</formula>
    </cfRule>
  </conditionalFormatting>
  <conditionalFormatting sqref="O350:R355">
    <cfRule type="colorScale" priority="59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O351">
    <cfRule type="expression" dxfId="3" priority="586">
      <formula>TRUE</formula>
    </cfRule>
  </conditionalFormatting>
  <conditionalFormatting sqref="O352">
    <cfRule type="expression" dxfId="3" priority="588">
      <formula>TRUE</formula>
    </cfRule>
  </conditionalFormatting>
  <conditionalFormatting sqref="O353">
    <cfRule type="expression" dxfId="3" priority="590">
      <formula>TRUE</formula>
    </cfRule>
  </conditionalFormatting>
  <conditionalFormatting sqref="O354">
    <cfRule type="expression" dxfId="3" priority="592">
      <formula>TRUE</formula>
    </cfRule>
  </conditionalFormatting>
  <conditionalFormatting sqref="O355">
    <cfRule type="expression" dxfId="5" priority="594">
      <formula>TRUE</formula>
    </cfRule>
  </conditionalFormatting>
  <conditionalFormatting sqref="O360">
    <cfRule type="expression" dxfId="1" priority="617">
      <formula>TRUE</formula>
    </cfRule>
  </conditionalFormatting>
  <conditionalFormatting sqref="O365">
    <cfRule type="expression" dxfId="6" priority="630">
      <formula>TRUE</formula>
    </cfRule>
  </conditionalFormatting>
  <conditionalFormatting sqref="O378">
    <cfRule type="expression" dxfId="1" priority="672">
      <formula>TRUE</formula>
    </cfRule>
  </conditionalFormatting>
  <conditionalFormatting sqref="O381">
    <cfRule type="expression" dxfId="6" priority="682">
      <formula>TRUE</formula>
    </cfRule>
  </conditionalFormatting>
  <conditionalFormatting sqref="O386">
    <cfRule type="expression" dxfId="1" priority="701">
      <formula>TRUE</formula>
    </cfRule>
  </conditionalFormatting>
  <conditionalFormatting sqref="O389">
    <cfRule type="expression" dxfId="6" priority="710">
      <formula>TRUE</formula>
    </cfRule>
  </conditionalFormatting>
  <conditionalFormatting sqref="O413">
    <cfRule type="expression" dxfId="0" priority="765">
      <formula>TRUE</formula>
    </cfRule>
  </conditionalFormatting>
  <conditionalFormatting sqref="O413:R420">
    <cfRule type="colorScale" priority="72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O414">
    <cfRule type="expression" dxfId="3" priority="769">
      <formula>TRUE</formula>
    </cfRule>
  </conditionalFormatting>
  <conditionalFormatting sqref="O415">
    <cfRule type="expression" dxfId="3" priority="771">
      <formula>TRUE</formula>
    </cfRule>
  </conditionalFormatting>
  <conditionalFormatting sqref="O416">
    <cfRule type="expression" dxfId="3" priority="773">
      <formula>TRUE</formula>
    </cfRule>
  </conditionalFormatting>
  <conditionalFormatting sqref="O417">
    <cfRule type="expression" dxfId="3" priority="775">
      <formula>TRUE</formula>
    </cfRule>
  </conditionalFormatting>
  <conditionalFormatting sqref="O418">
    <cfRule type="expression" dxfId="3" priority="777">
      <formula>TRUE</formula>
    </cfRule>
  </conditionalFormatting>
  <conditionalFormatting sqref="O419">
    <cfRule type="expression" dxfId="3" priority="779">
      <formula>TRUE</formula>
    </cfRule>
  </conditionalFormatting>
  <conditionalFormatting sqref="O420">
    <cfRule type="expression" dxfId="5" priority="781">
      <formula>TRUE</formula>
    </cfRule>
  </conditionalFormatting>
  <conditionalFormatting sqref="O51:R58">
    <cfRule type="colorScale" priority="9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O74">
    <cfRule type="expression" dxfId="2" priority="228">
      <formula>TRUE</formula>
    </cfRule>
  </conditionalFormatting>
  <conditionalFormatting sqref="O75">
    <cfRule type="expression" dxfId="7" priority="230">
      <formula>TRUE</formula>
    </cfRule>
  </conditionalFormatting>
  <conditionalFormatting sqref="O78">
    <cfRule type="expression" dxfId="2" priority="232">
      <formula>TRUE</formula>
    </cfRule>
  </conditionalFormatting>
  <conditionalFormatting sqref="O79">
    <cfRule type="expression" dxfId="7" priority="234">
      <formula>TRUE</formula>
    </cfRule>
  </conditionalFormatting>
  <conditionalFormatting sqref="O97:R104">
    <cfRule type="colorScale" priority="24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P16">
    <cfRule type="expression" dxfId="1" priority="79">
      <formula>TRUE</formula>
    </cfRule>
  </conditionalFormatting>
  <conditionalFormatting sqref="P19">
    <cfRule type="expression" dxfId="6" priority="91">
      <formula>TRUE</formula>
    </cfRule>
  </conditionalFormatting>
  <conditionalFormatting sqref="P305">
    <cfRule type="expression" dxfId="1" priority="446">
      <formula>TRUE</formula>
    </cfRule>
  </conditionalFormatting>
  <conditionalFormatting sqref="P308">
    <cfRule type="expression" dxfId="6" priority="466">
      <formula>TRUE</formula>
    </cfRule>
  </conditionalFormatting>
  <conditionalFormatting sqref="P313">
    <cfRule type="expression" dxfId="1" priority="485">
      <formula>TRUE</formula>
    </cfRule>
  </conditionalFormatting>
  <conditionalFormatting sqref="P316">
    <cfRule type="expression" dxfId="6" priority="494">
      <formula>TRUE</formula>
    </cfRule>
  </conditionalFormatting>
  <conditionalFormatting sqref="P340">
    <cfRule type="expression" dxfId="1" priority="549">
      <formula>TRUE</formula>
    </cfRule>
  </conditionalFormatting>
  <conditionalFormatting sqref="P345">
    <cfRule type="expression" dxfId="6" priority="561">
      <formula>TRUE</formula>
    </cfRule>
  </conditionalFormatting>
  <conditionalFormatting sqref="P350">
    <cfRule type="expression" dxfId="1" priority="583">
      <formula>TRUE</formula>
    </cfRule>
  </conditionalFormatting>
  <conditionalFormatting sqref="P355">
    <cfRule type="expression" dxfId="6" priority="595">
      <formula>TRUE</formula>
    </cfRule>
  </conditionalFormatting>
  <conditionalFormatting sqref="P360">
    <cfRule type="expression" dxfId="1" priority="618">
      <formula>TRUE</formula>
    </cfRule>
  </conditionalFormatting>
  <conditionalFormatting sqref="P365">
    <cfRule type="expression" dxfId="6" priority="631">
      <formula>TRUE</formula>
    </cfRule>
  </conditionalFormatting>
  <conditionalFormatting sqref="P378">
    <cfRule type="expression" dxfId="1" priority="673">
      <formula>TRUE</formula>
    </cfRule>
  </conditionalFormatting>
  <conditionalFormatting sqref="P381">
    <cfRule type="expression" dxfId="6" priority="683">
      <formula>TRUE</formula>
    </cfRule>
  </conditionalFormatting>
  <conditionalFormatting sqref="P386">
    <cfRule type="expression" dxfId="1" priority="702">
      <formula>TRUE</formula>
    </cfRule>
  </conditionalFormatting>
  <conditionalFormatting sqref="P389">
    <cfRule type="expression" dxfId="6" priority="711">
      <formula>TRUE</formula>
    </cfRule>
  </conditionalFormatting>
  <conditionalFormatting sqref="P413">
    <cfRule type="expression" dxfId="1" priority="766">
      <formula>TRUE</formula>
    </cfRule>
  </conditionalFormatting>
  <conditionalFormatting sqref="P420">
    <cfRule type="expression" dxfId="6" priority="782">
      <formula>TRUE</formula>
    </cfRule>
  </conditionalFormatting>
  <conditionalFormatting sqref="Q148">
    <cfRule type="expression" dxfId="0" priority="335">
      <formula>TRUE</formula>
    </cfRule>
  </conditionalFormatting>
  <conditionalFormatting sqref="Q148:R149">
    <cfRule type="colorScale" priority="39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Q149">
    <cfRule type="expression" dxfId="5" priority="337">
      <formula>TRUE</formula>
    </cfRule>
  </conditionalFormatting>
  <conditionalFormatting sqref="Q152">
    <cfRule type="expression" dxfId="0" priority="339">
      <formula>TRUE</formula>
    </cfRule>
  </conditionalFormatting>
  <conditionalFormatting sqref="Q152:R153">
    <cfRule type="colorScale" priority="40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Q153">
    <cfRule type="expression" dxfId="5" priority="341">
      <formula>TRUE</formula>
    </cfRule>
  </conditionalFormatting>
  <conditionalFormatting sqref="Q16">
    <cfRule type="expression" dxfId="1" priority="80">
      <formula>TRUE</formula>
    </cfRule>
  </conditionalFormatting>
  <conditionalFormatting sqref="Q19">
    <cfRule type="expression" dxfId="6" priority="92">
      <formula>TRUE</formula>
    </cfRule>
  </conditionalFormatting>
  <conditionalFormatting sqref="Q305">
    <cfRule type="expression" dxfId="1" priority="447">
      <formula>TRUE</formula>
    </cfRule>
  </conditionalFormatting>
  <conditionalFormatting sqref="Q308">
    <cfRule type="expression" dxfId="6" priority="467">
      <formula>TRUE</formula>
    </cfRule>
  </conditionalFormatting>
  <conditionalFormatting sqref="Q313">
    <cfRule type="expression" dxfId="1" priority="486">
      <formula>TRUE</formula>
    </cfRule>
  </conditionalFormatting>
  <conditionalFormatting sqref="Q316">
    <cfRule type="expression" dxfId="6" priority="495">
      <formula>TRUE</formula>
    </cfRule>
  </conditionalFormatting>
  <conditionalFormatting sqref="Q340">
    <cfRule type="expression" dxfId="1" priority="550">
      <formula>TRUE</formula>
    </cfRule>
  </conditionalFormatting>
  <conditionalFormatting sqref="Q345">
    <cfRule type="expression" dxfId="6" priority="562">
      <formula>TRUE</formula>
    </cfRule>
  </conditionalFormatting>
  <conditionalFormatting sqref="Q350">
    <cfRule type="expression" dxfId="1" priority="584">
      <formula>TRUE</formula>
    </cfRule>
  </conditionalFormatting>
  <conditionalFormatting sqref="Q355">
    <cfRule type="expression" dxfId="6" priority="596">
      <formula>TRUE</formula>
    </cfRule>
  </conditionalFormatting>
  <conditionalFormatting sqref="Q360">
    <cfRule type="expression" dxfId="1" priority="619">
      <formula>TRUE</formula>
    </cfRule>
  </conditionalFormatting>
  <conditionalFormatting sqref="Q365">
    <cfRule type="expression" dxfId="6" priority="632">
      <formula>TRUE</formula>
    </cfRule>
  </conditionalFormatting>
  <conditionalFormatting sqref="Q378">
    <cfRule type="expression" dxfId="1" priority="674">
      <formula>TRUE</formula>
    </cfRule>
  </conditionalFormatting>
  <conditionalFormatting sqref="Q381">
    <cfRule type="expression" dxfId="6" priority="684">
      <formula>TRUE</formula>
    </cfRule>
  </conditionalFormatting>
  <conditionalFormatting sqref="Q386">
    <cfRule type="expression" dxfId="1" priority="703">
      <formula>TRUE</formula>
    </cfRule>
  </conditionalFormatting>
  <conditionalFormatting sqref="Q389">
    <cfRule type="expression" dxfId="6" priority="712">
      <formula>TRUE</formula>
    </cfRule>
  </conditionalFormatting>
  <conditionalFormatting sqref="Q413">
    <cfRule type="expression" dxfId="1" priority="767">
      <formula>TRUE</formula>
    </cfRule>
  </conditionalFormatting>
  <conditionalFormatting sqref="Q420">
    <cfRule type="expression" dxfId="6" priority="783">
      <formula>TRUE</formula>
    </cfRule>
  </conditionalFormatting>
  <conditionalFormatting sqref="Q74">
    <cfRule type="expression" dxfId="0" priority="235">
      <formula>TRUE</formula>
    </cfRule>
  </conditionalFormatting>
  <conditionalFormatting sqref="Q74:R75">
    <cfRule type="colorScale" priority="22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Q75">
    <cfRule type="expression" dxfId="5" priority="237">
      <formula>TRUE</formula>
    </cfRule>
  </conditionalFormatting>
  <conditionalFormatting sqref="Q78">
    <cfRule type="expression" dxfId="0" priority="239">
      <formula>TRUE</formula>
    </cfRule>
  </conditionalFormatting>
  <conditionalFormatting sqref="Q78:R79">
    <cfRule type="colorScale" priority="2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Q79">
    <cfRule type="expression" dxfId="5" priority="241">
      <formula>TRUE</formula>
    </cfRule>
  </conditionalFormatting>
  <conditionalFormatting sqref="R148">
    <cfRule type="expression" dxfId="2" priority="336">
      <formula>TRUE</formula>
    </cfRule>
  </conditionalFormatting>
  <conditionalFormatting sqref="R149">
    <cfRule type="expression" dxfId="7" priority="338">
      <formula>TRUE</formula>
    </cfRule>
  </conditionalFormatting>
  <conditionalFormatting sqref="R152">
    <cfRule type="expression" dxfId="2" priority="340">
      <formula>TRUE</formula>
    </cfRule>
  </conditionalFormatting>
  <conditionalFormatting sqref="R153">
    <cfRule type="expression" dxfId="7" priority="342">
      <formula>TRUE</formula>
    </cfRule>
  </conditionalFormatting>
  <conditionalFormatting sqref="R16">
    <cfRule type="expression" dxfId="2" priority="81">
      <formula>TRUE</formula>
    </cfRule>
  </conditionalFormatting>
  <conditionalFormatting sqref="R17">
    <cfRule type="expression" dxfId="4" priority="83">
      <formula>TRUE</formula>
    </cfRule>
  </conditionalFormatting>
  <conditionalFormatting sqref="R18">
    <cfRule type="expression" dxfId="4" priority="85">
      <formula>TRUE</formula>
    </cfRule>
  </conditionalFormatting>
  <conditionalFormatting sqref="R19">
    <cfRule type="expression" dxfId="7" priority="93">
      <formula>TRUE</formula>
    </cfRule>
  </conditionalFormatting>
  <conditionalFormatting sqref="R305">
    <cfRule type="expression" dxfId="2" priority="448">
      <formula>TRUE</formula>
    </cfRule>
  </conditionalFormatting>
  <conditionalFormatting sqref="R306">
    <cfRule type="expression" dxfId="4" priority="450">
      <formula>TRUE</formula>
    </cfRule>
  </conditionalFormatting>
  <conditionalFormatting sqref="R307">
    <cfRule type="expression" dxfId="4" priority="452">
      <formula>TRUE</formula>
    </cfRule>
  </conditionalFormatting>
  <conditionalFormatting sqref="R308">
    <cfRule type="expression" dxfId="7" priority="468">
      <formula>TRUE</formula>
    </cfRule>
  </conditionalFormatting>
  <conditionalFormatting sqref="R313">
    <cfRule type="expression" dxfId="2" priority="487">
      <formula>TRUE</formula>
    </cfRule>
  </conditionalFormatting>
  <conditionalFormatting sqref="R314">
    <cfRule type="expression" dxfId="4" priority="489">
      <formula>TRUE</formula>
    </cfRule>
  </conditionalFormatting>
  <conditionalFormatting sqref="R315">
    <cfRule type="expression" dxfId="4" priority="491">
      <formula>TRUE</formula>
    </cfRule>
  </conditionalFormatting>
  <conditionalFormatting sqref="R316">
    <cfRule type="expression" dxfId="7" priority="496">
      <formula>TRUE</formula>
    </cfRule>
  </conditionalFormatting>
  <conditionalFormatting sqref="R332">
    <cfRule type="expression" dxfId="11" priority="530">
      <formula>TRUE</formula>
    </cfRule>
  </conditionalFormatting>
  <conditionalFormatting sqref="R332:R335">
    <cfRule type="colorScale" priority="56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R333">
    <cfRule type="expression" dxfId="12" priority="531">
      <formula>TRUE</formula>
    </cfRule>
  </conditionalFormatting>
  <conditionalFormatting sqref="R334">
    <cfRule type="expression" dxfId="12" priority="532">
      <formula>TRUE</formula>
    </cfRule>
  </conditionalFormatting>
  <conditionalFormatting sqref="R335">
    <cfRule type="expression" dxfId="13" priority="533">
      <formula>TRUE</formula>
    </cfRule>
  </conditionalFormatting>
  <conditionalFormatting sqref="R340">
    <cfRule type="expression" dxfId="2" priority="551">
      <formula>TRUE</formula>
    </cfRule>
  </conditionalFormatting>
  <conditionalFormatting sqref="R341">
    <cfRule type="expression" dxfId="4" priority="553">
      <formula>TRUE</formula>
    </cfRule>
  </conditionalFormatting>
  <conditionalFormatting sqref="R342">
    <cfRule type="expression" dxfId="4" priority="555">
      <formula>TRUE</formula>
    </cfRule>
  </conditionalFormatting>
  <conditionalFormatting sqref="R343">
    <cfRule type="expression" dxfId="4" priority="557">
      <formula>TRUE</formula>
    </cfRule>
  </conditionalFormatting>
  <conditionalFormatting sqref="R344">
    <cfRule type="expression" dxfId="4" priority="559">
      <formula>TRUE</formula>
    </cfRule>
  </conditionalFormatting>
  <conditionalFormatting sqref="R345">
    <cfRule type="expression" dxfId="7" priority="563">
      <formula>TRUE</formula>
    </cfRule>
  </conditionalFormatting>
  <conditionalFormatting sqref="R350">
    <cfRule type="expression" dxfId="2" priority="585">
      <formula>TRUE</formula>
    </cfRule>
  </conditionalFormatting>
  <conditionalFormatting sqref="R351">
    <cfRule type="expression" dxfId="4" priority="587">
      <formula>TRUE</formula>
    </cfRule>
  </conditionalFormatting>
  <conditionalFormatting sqref="R352">
    <cfRule type="expression" dxfId="4" priority="589">
      <formula>TRUE</formula>
    </cfRule>
  </conditionalFormatting>
  <conditionalFormatting sqref="R353">
    <cfRule type="expression" dxfId="4" priority="591">
      <formula>TRUE</formula>
    </cfRule>
  </conditionalFormatting>
  <conditionalFormatting sqref="R354">
    <cfRule type="expression" dxfId="4" priority="593">
      <formula>TRUE</formula>
    </cfRule>
  </conditionalFormatting>
  <conditionalFormatting sqref="R355">
    <cfRule type="expression" dxfId="7" priority="597">
      <formula>TRUE</formula>
    </cfRule>
  </conditionalFormatting>
  <conditionalFormatting sqref="R360">
    <cfRule type="expression" dxfId="2" priority="620">
      <formula>TRUE</formula>
    </cfRule>
  </conditionalFormatting>
  <conditionalFormatting sqref="R361">
    <cfRule type="expression" dxfId="4" priority="622">
      <formula>TRUE</formula>
    </cfRule>
  </conditionalFormatting>
  <conditionalFormatting sqref="R362">
    <cfRule type="expression" dxfId="4" priority="624">
      <formula>TRUE</formula>
    </cfRule>
  </conditionalFormatting>
  <conditionalFormatting sqref="R363">
    <cfRule type="expression" dxfId="4" priority="626">
      <formula>TRUE</formula>
    </cfRule>
  </conditionalFormatting>
  <conditionalFormatting sqref="R364">
    <cfRule type="expression" dxfId="4" priority="628">
      <formula>TRUE</formula>
    </cfRule>
  </conditionalFormatting>
  <conditionalFormatting sqref="R365">
    <cfRule type="expression" dxfId="7" priority="633">
      <formula>TRUE</formula>
    </cfRule>
  </conditionalFormatting>
  <conditionalFormatting sqref="R378">
    <cfRule type="expression" dxfId="2" priority="675">
      <formula>TRUE</formula>
    </cfRule>
  </conditionalFormatting>
  <conditionalFormatting sqref="R379">
    <cfRule type="expression" dxfId="4" priority="677">
      <formula>TRUE</formula>
    </cfRule>
  </conditionalFormatting>
  <conditionalFormatting sqref="R380">
    <cfRule type="expression" dxfId="4" priority="679">
      <formula>TRUE</formula>
    </cfRule>
  </conditionalFormatting>
  <conditionalFormatting sqref="R381">
    <cfRule type="expression" dxfId="7" priority="685">
      <formula>TRUE</formula>
    </cfRule>
  </conditionalFormatting>
  <conditionalFormatting sqref="R386">
    <cfRule type="expression" dxfId="2" priority="704">
      <formula>TRUE</formula>
    </cfRule>
  </conditionalFormatting>
  <conditionalFormatting sqref="R387">
    <cfRule type="expression" dxfId="4" priority="706">
      <formula>TRUE</formula>
    </cfRule>
  </conditionalFormatting>
  <conditionalFormatting sqref="R388">
    <cfRule type="expression" dxfId="4" priority="708">
      <formula>TRUE</formula>
    </cfRule>
  </conditionalFormatting>
  <conditionalFormatting sqref="R389">
    <cfRule type="expression" dxfId="7" priority="713">
      <formula>TRUE</formula>
    </cfRule>
  </conditionalFormatting>
  <conditionalFormatting sqref="R405">
    <cfRule type="expression" dxfId="11" priority="747">
      <formula>TRUE</formula>
    </cfRule>
  </conditionalFormatting>
  <conditionalFormatting sqref="R405:R408">
    <cfRule type="colorScale" priority="71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R406">
    <cfRule type="expression" dxfId="12" priority="748">
      <formula>TRUE</formula>
    </cfRule>
  </conditionalFormatting>
  <conditionalFormatting sqref="R407">
    <cfRule type="expression" dxfId="12" priority="749">
      <formula>TRUE</formula>
    </cfRule>
  </conditionalFormatting>
  <conditionalFormatting sqref="R408">
    <cfRule type="expression" dxfId="13" priority="750">
      <formula>TRUE</formula>
    </cfRule>
  </conditionalFormatting>
  <conditionalFormatting sqref="R413">
    <cfRule type="expression" dxfId="2" priority="768">
      <formula>TRUE</formula>
    </cfRule>
  </conditionalFormatting>
  <conditionalFormatting sqref="R414">
    <cfRule type="expression" dxfId="4" priority="770">
      <formula>TRUE</formula>
    </cfRule>
  </conditionalFormatting>
  <conditionalFormatting sqref="R415">
    <cfRule type="expression" dxfId="4" priority="772">
      <formula>TRUE</formula>
    </cfRule>
  </conditionalFormatting>
  <conditionalFormatting sqref="R416">
    <cfRule type="expression" dxfId="4" priority="774">
      <formula>TRUE</formula>
    </cfRule>
  </conditionalFormatting>
  <conditionalFormatting sqref="R417">
    <cfRule type="expression" dxfId="4" priority="776">
      <formula>TRUE</formula>
    </cfRule>
  </conditionalFormatting>
  <conditionalFormatting sqref="R418">
    <cfRule type="expression" dxfId="4" priority="778">
      <formula>TRUE</formula>
    </cfRule>
  </conditionalFormatting>
  <conditionalFormatting sqref="R419">
    <cfRule type="expression" dxfId="4" priority="780">
      <formula>TRUE</formula>
    </cfRule>
  </conditionalFormatting>
  <conditionalFormatting sqref="R420">
    <cfRule type="expression" dxfId="7" priority="784">
      <formula>TRUE</formula>
    </cfRule>
  </conditionalFormatting>
  <conditionalFormatting sqref="R43">
    <cfRule type="expression" dxfId="11" priority="149">
      <formula>TRUE</formula>
    </cfRule>
  </conditionalFormatting>
  <conditionalFormatting sqref="R43:R46">
    <cfRule type="colorScale" priority="8">
      <colorScale>
        <cfvo type="min" val="0"/>
        <cfvo type="percentile" val="50"/>
        <cfvo type="max" val="0"/>
        <color rgb="FFFFA62B"/>
        <color rgb="FFFFF4D6"/>
        <color rgb="FFFFF200"/>
      </colorScale>
    </cfRule>
  </conditionalFormatting>
  <conditionalFormatting sqref="R44">
    <cfRule type="expression" dxfId="12" priority="150">
      <formula>TRUE</formula>
    </cfRule>
  </conditionalFormatting>
  <conditionalFormatting sqref="R45">
    <cfRule type="expression" dxfId="12" priority="151">
      <formula>TRUE</formula>
    </cfRule>
  </conditionalFormatting>
  <conditionalFormatting sqref="R46">
    <cfRule type="expression" dxfId="13" priority="152">
      <formula>TRUE</formula>
    </cfRule>
  </conditionalFormatting>
  <conditionalFormatting sqref="R74">
    <cfRule type="expression" dxfId="2" priority="236">
      <formula>TRUE</formula>
    </cfRule>
  </conditionalFormatting>
  <conditionalFormatting sqref="R75">
    <cfRule type="expression" dxfId="7" priority="238">
      <formula>TRUE</formula>
    </cfRule>
  </conditionalFormatting>
  <conditionalFormatting sqref="R78">
    <cfRule type="expression" dxfId="2" priority="240">
      <formula>TRUE</formula>
    </cfRule>
  </conditionalFormatting>
  <conditionalFormatting sqref="R79">
    <cfRule type="expression" dxfId="7" priority="242">
      <formula>TRUE</formula>
    </cfRule>
  </conditionalFormatting>
  <conditionalFormatting sqref="U10">
    <cfRule type="expression" dxfId="3" priority="107">
      <formula>TRUE</formula>
    </cfRule>
  </conditionalFormatting>
  <conditionalFormatting sqref="U109:Y124">
    <cfRule type="colorScale" priority="27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11">
    <cfRule type="expression" dxfId="3" priority="109">
      <formula>TRUE</formula>
    </cfRule>
  </conditionalFormatting>
  <conditionalFormatting sqref="U12">
    <cfRule type="expression" dxfId="5" priority="111">
      <formula>TRUE</formula>
    </cfRule>
  </conditionalFormatting>
  <conditionalFormatting sqref="U129">
    <cfRule type="expression" dxfId="0" priority="265">
      <formula>TRUE</formula>
    </cfRule>
  </conditionalFormatting>
  <conditionalFormatting sqref="U129:Y144">
    <cfRule type="colorScale" priority="28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130">
    <cfRule type="expression" dxfId="3" priority="270">
      <formula>TRUE</formula>
    </cfRule>
  </conditionalFormatting>
  <conditionalFormatting sqref="U131">
    <cfRule type="expression" dxfId="3" priority="272">
      <formula>TRUE</formula>
    </cfRule>
  </conditionalFormatting>
  <conditionalFormatting sqref="U132">
    <cfRule type="expression" dxfId="3" priority="274">
      <formula>TRUE</formula>
    </cfRule>
  </conditionalFormatting>
  <conditionalFormatting sqref="U133">
    <cfRule type="expression" dxfId="3" priority="276">
      <formula>TRUE</formula>
    </cfRule>
  </conditionalFormatting>
  <conditionalFormatting sqref="U134">
    <cfRule type="expression" dxfId="3" priority="278">
      <formula>TRUE</formula>
    </cfRule>
  </conditionalFormatting>
  <conditionalFormatting sqref="U135">
    <cfRule type="expression" dxfId="3" priority="280">
      <formula>TRUE</formula>
    </cfRule>
  </conditionalFormatting>
  <conditionalFormatting sqref="U136">
    <cfRule type="expression" dxfId="3" priority="282">
      <formula>TRUE</formula>
    </cfRule>
  </conditionalFormatting>
  <conditionalFormatting sqref="U137">
    <cfRule type="expression" dxfId="3" priority="284">
      <formula>TRUE</formula>
    </cfRule>
  </conditionalFormatting>
  <conditionalFormatting sqref="U138">
    <cfRule type="expression" dxfId="3" priority="286">
      <formula>TRUE</formula>
    </cfRule>
  </conditionalFormatting>
  <conditionalFormatting sqref="U139">
    <cfRule type="expression" dxfId="3" priority="288">
      <formula>TRUE</formula>
    </cfRule>
  </conditionalFormatting>
  <conditionalFormatting sqref="U140">
    <cfRule type="expression" dxfId="3" priority="290">
      <formula>TRUE</formula>
    </cfRule>
  </conditionalFormatting>
  <conditionalFormatting sqref="U141">
    <cfRule type="expression" dxfId="3" priority="292">
      <formula>TRUE</formula>
    </cfRule>
  </conditionalFormatting>
  <conditionalFormatting sqref="U142">
    <cfRule type="expression" dxfId="3" priority="294">
      <formula>TRUE</formula>
    </cfRule>
  </conditionalFormatting>
  <conditionalFormatting sqref="U143">
    <cfRule type="expression" dxfId="3" priority="296">
      <formula>TRUE</formula>
    </cfRule>
  </conditionalFormatting>
  <conditionalFormatting sqref="U144">
    <cfRule type="expression" dxfId="5" priority="298">
      <formula>TRUE</formula>
    </cfRule>
  </conditionalFormatting>
  <conditionalFormatting sqref="U148">
    <cfRule type="expression" dxfId="0" priority="343">
      <formula>TRUE</formula>
    </cfRule>
  </conditionalFormatting>
  <conditionalFormatting sqref="U148:Y163">
    <cfRule type="colorScale" priority="29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149">
    <cfRule type="expression" dxfId="3" priority="348">
      <formula>TRUE</formula>
    </cfRule>
  </conditionalFormatting>
  <conditionalFormatting sqref="U150">
    <cfRule type="expression" dxfId="3" priority="350">
      <formula>TRUE</formula>
    </cfRule>
  </conditionalFormatting>
  <conditionalFormatting sqref="U151">
    <cfRule type="expression" dxfId="3" priority="352">
      <formula>TRUE</formula>
    </cfRule>
  </conditionalFormatting>
  <conditionalFormatting sqref="U152">
    <cfRule type="expression" dxfId="3" priority="354">
      <formula>TRUE</formula>
    </cfRule>
  </conditionalFormatting>
  <conditionalFormatting sqref="U153">
    <cfRule type="expression" dxfId="3" priority="356">
      <formula>TRUE</formula>
    </cfRule>
  </conditionalFormatting>
  <conditionalFormatting sqref="U154">
    <cfRule type="expression" dxfId="3" priority="358">
      <formula>TRUE</formula>
    </cfRule>
  </conditionalFormatting>
  <conditionalFormatting sqref="U155">
    <cfRule type="expression" dxfId="3" priority="360">
      <formula>TRUE</formula>
    </cfRule>
  </conditionalFormatting>
  <conditionalFormatting sqref="U156">
    <cfRule type="expression" dxfId="3" priority="362">
      <formula>TRUE</formula>
    </cfRule>
  </conditionalFormatting>
  <conditionalFormatting sqref="U157">
    <cfRule type="expression" dxfId="3" priority="364">
      <formula>TRUE</formula>
    </cfRule>
  </conditionalFormatting>
  <conditionalFormatting sqref="U158">
    <cfRule type="expression" dxfId="3" priority="366">
      <formula>TRUE</formula>
    </cfRule>
  </conditionalFormatting>
  <conditionalFormatting sqref="U159">
    <cfRule type="expression" dxfId="3" priority="368">
      <formula>TRUE</formula>
    </cfRule>
  </conditionalFormatting>
  <conditionalFormatting sqref="U16">
    <cfRule type="expression" dxfId="0" priority="116">
      <formula>TRUE</formula>
    </cfRule>
  </conditionalFormatting>
  <conditionalFormatting sqref="U160">
    <cfRule type="expression" dxfId="3" priority="370">
      <formula>TRUE</formula>
    </cfRule>
  </conditionalFormatting>
  <conditionalFormatting sqref="U161">
    <cfRule type="expression" dxfId="3" priority="372">
      <formula>TRUE</formula>
    </cfRule>
  </conditionalFormatting>
  <conditionalFormatting sqref="U162">
    <cfRule type="expression" dxfId="3" priority="374">
      <formula>TRUE</formula>
    </cfRule>
  </conditionalFormatting>
  <conditionalFormatting sqref="U163">
    <cfRule type="expression" dxfId="5" priority="376">
      <formula>TRUE</formula>
    </cfRule>
  </conditionalFormatting>
  <conditionalFormatting sqref="U167:Y182">
    <cfRule type="colorScale" priority="30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16:Y19">
    <cfRule type="colorScale" priority="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17">
    <cfRule type="expression" dxfId="3" priority="121">
      <formula>TRUE</formula>
    </cfRule>
  </conditionalFormatting>
  <conditionalFormatting sqref="U18">
    <cfRule type="expression" dxfId="3" priority="123">
      <formula>TRUE</formula>
    </cfRule>
  </conditionalFormatting>
  <conditionalFormatting sqref="U187:Y206">
    <cfRule type="colorScale" priority="42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19">
    <cfRule type="expression" dxfId="5" priority="125">
      <formula>TRUE</formula>
    </cfRule>
  </conditionalFormatting>
  <conditionalFormatting sqref="U211:Y230">
    <cfRule type="colorScale" priority="4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234">
    <cfRule type="expression" dxfId="0" priority="381">
      <formula>TRUE</formula>
    </cfRule>
  </conditionalFormatting>
  <conditionalFormatting sqref="U234:Y237">
    <cfRule type="colorScale" priority="44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235">
    <cfRule type="expression" dxfId="3" priority="386">
      <formula>TRUE</formula>
    </cfRule>
  </conditionalFormatting>
  <conditionalFormatting sqref="U236">
    <cfRule type="expression" dxfId="3" priority="388">
      <formula>TRUE</formula>
    </cfRule>
  </conditionalFormatting>
  <conditionalFormatting sqref="U237">
    <cfRule type="expression" dxfId="5" priority="390">
      <formula>TRUE</formula>
    </cfRule>
  </conditionalFormatting>
  <conditionalFormatting sqref="U24">
    <cfRule type="expression" dxfId="0" priority="130">
      <formula>TRUE</formula>
    </cfRule>
  </conditionalFormatting>
  <conditionalFormatting sqref="U241:Y260">
    <cfRule type="colorScale" priority="45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24:Y27">
    <cfRule type="colorScale" priority="4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25">
    <cfRule type="expression" dxfId="3" priority="135">
      <formula>TRUE</formula>
    </cfRule>
  </conditionalFormatting>
  <conditionalFormatting sqref="U26">
    <cfRule type="expression" dxfId="3" priority="137">
      <formula>TRUE</formula>
    </cfRule>
  </conditionalFormatting>
  <conditionalFormatting sqref="U265:Y280">
    <cfRule type="colorScale" priority="47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27">
    <cfRule type="expression" dxfId="5" priority="139">
      <formula>TRUE</formula>
    </cfRule>
  </conditionalFormatting>
  <conditionalFormatting sqref="U285">
    <cfRule type="expression" dxfId="0" priority="395">
      <formula>TRUE</formula>
    </cfRule>
  </conditionalFormatting>
  <conditionalFormatting sqref="U285:Y300">
    <cfRule type="colorScale" priority="48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286">
    <cfRule type="expression" dxfId="3" priority="400">
      <formula>TRUE</formula>
    </cfRule>
  </conditionalFormatting>
  <conditionalFormatting sqref="U287">
    <cfRule type="expression" dxfId="3" priority="402">
      <formula>TRUE</formula>
    </cfRule>
  </conditionalFormatting>
  <conditionalFormatting sqref="U288">
    <cfRule type="expression" dxfId="3" priority="404">
      <formula>TRUE</formula>
    </cfRule>
  </conditionalFormatting>
  <conditionalFormatting sqref="U289">
    <cfRule type="expression" dxfId="3" priority="406">
      <formula>TRUE</formula>
    </cfRule>
  </conditionalFormatting>
  <conditionalFormatting sqref="U290">
    <cfRule type="expression" dxfId="3" priority="408">
      <formula>TRUE</formula>
    </cfRule>
  </conditionalFormatting>
  <conditionalFormatting sqref="U291">
    <cfRule type="expression" dxfId="3" priority="410">
      <formula>TRUE</formula>
    </cfRule>
  </conditionalFormatting>
  <conditionalFormatting sqref="U292">
    <cfRule type="expression" dxfId="3" priority="412">
      <formula>TRUE</formula>
    </cfRule>
  </conditionalFormatting>
  <conditionalFormatting sqref="U293">
    <cfRule type="expression" dxfId="3" priority="414">
      <formula>TRUE</formula>
    </cfRule>
  </conditionalFormatting>
  <conditionalFormatting sqref="U294">
    <cfRule type="expression" dxfId="3" priority="416">
      <formula>TRUE</formula>
    </cfRule>
  </conditionalFormatting>
  <conditionalFormatting sqref="U295">
    <cfRule type="expression" dxfId="3" priority="418">
      <formula>TRUE</formula>
    </cfRule>
  </conditionalFormatting>
  <conditionalFormatting sqref="U296">
    <cfRule type="expression" dxfId="3" priority="420">
      <formula>TRUE</formula>
    </cfRule>
  </conditionalFormatting>
  <conditionalFormatting sqref="U297">
    <cfRule type="expression" dxfId="3" priority="422">
      <formula>TRUE</formula>
    </cfRule>
  </conditionalFormatting>
  <conditionalFormatting sqref="U298">
    <cfRule type="expression" dxfId="3" priority="424">
      <formula>TRUE</formula>
    </cfRule>
  </conditionalFormatting>
  <conditionalFormatting sqref="U299">
    <cfRule type="expression" dxfId="3" priority="426">
      <formula>TRUE</formula>
    </cfRule>
  </conditionalFormatting>
  <conditionalFormatting sqref="U300">
    <cfRule type="expression" dxfId="5" priority="428">
      <formula>TRUE</formula>
    </cfRule>
  </conditionalFormatting>
  <conditionalFormatting sqref="U305">
    <cfRule type="expression" dxfId="0" priority="469">
      <formula>TRUE</formula>
    </cfRule>
  </conditionalFormatting>
  <conditionalFormatting sqref="U305:Y308">
    <cfRule type="colorScale" priority="50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06">
    <cfRule type="expression" dxfId="3" priority="474">
      <formula>TRUE</formula>
    </cfRule>
  </conditionalFormatting>
  <conditionalFormatting sqref="U307">
    <cfRule type="expression" dxfId="3" priority="476">
      <formula>TRUE</formula>
    </cfRule>
  </conditionalFormatting>
  <conditionalFormatting sqref="U308">
    <cfRule type="expression" dxfId="5" priority="478">
      <formula>TRUE</formula>
    </cfRule>
  </conditionalFormatting>
  <conditionalFormatting sqref="U313">
    <cfRule type="expression" dxfId="0" priority="497">
      <formula>TRUE</formula>
    </cfRule>
  </conditionalFormatting>
  <conditionalFormatting sqref="U313:Y316">
    <cfRule type="colorScale" priority="52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14">
    <cfRule type="expression" dxfId="3" priority="502">
      <formula>TRUE</formula>
    </cfRule>
  </conditionalFormatting>
  <conditionalFormatting sqref="U315">
    <cfRule type="expression" dxfId="3" priority="504">
      <formula>TRUE</formula>
    </cfRule>
  </conditionalFormatting>
  <conditionalFormatting sqref="U316">
    <cfRule type="expression" dxfId="5" priority="506">
      <formula>TRUE</formula>
    </cfRule>
  </conditionalFormatting>
  <conditionalFormatting sqref="U32">
    <cfRule type="expression" dxfId="8" priority="144">
      <formula>TRUE</formula>
    </cfRule>
  </conditionalFormatting>
  <conditionalFormatting sqref="U321">
    <cfRule type="expression" dxfId="8" priority="511">
      <formula>TRUE</formula>
    </cfRule>
  </conditionalFormatting>
  <conditionalFormatting sqref="U321:Y321">
    <cfRule type="colorScale" priority="5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25">
    <cfRule type="expression" dxfId="0" priority="516">
      <formula>TRUE</formula>
    </cfRule>
  </conditionalFormatting>
  <conditionalFormatting sqref="U325:Y328">
    <cfRule type="colorScale" priority="54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26">
    <cfRule type="expression" dxfId="3" priority="521">
      <formula>TRUE</formula>
    </cfRule>
  </conditionalFormatting>
  <conditionalFormatting sqref="U327">
    <cfRule type="expression" dxfId="3" priority="523">
      <formula>TRUE</formula>
    </cfRule>
  </conditionalFormatting>
  <conditionalFormatting sqref="U328">
    <cfRule type="expression" dxfId="5" priority="525">
      <formula>TRUE</formula>
    </cfRule>
  </conditionalFormatting>
  <conditionalFormatting sqref="U32:Y32">
    <cfRule type="colorScale" priority="5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32">
    <cfRule type="expression" dxfId="0" priority="534">
      <formula>TRUE</formula>
    </cfRule>
  </conditionalFormatting>
  <conditionalFormatting sqref="U332:Y335">
    <cfRule type="colorScale" priority="55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33">
    <cfRule type="expression" dxfId="3" priority="539">
      <formula>TRUE</formula>
    </cfRule>
  </conditionalFormatting>
  <conditionalFormatting sqref="U334">
    <cfRule type="expression" dxfId="3" priority="541">
      <formula>TRUE</formula>
    </cfRule>
  </conditionalFormatting>
  <conditionalFormatting sqref="U335">
    <cfRule type="expression" dxfId="5" priority="543">
      <formula>TRUE</formula>
    </cfRule>
  </conditionalFormatting>
  <conditionalFormatting sqref="U340">
    <cfRule type="expression" dxfId="0" priority="564">
      <formula>TRUE</formula>
    </cfRule>
  </conditionalFormatting>
  <conditionalFormatting sqref="U340:Y345">
    <cfRule type="colorScale" priority="58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41">
    <cfRule type="expression" dxfId="3" priority="569">
      <formula>TRUE</formula>
    </cfRule>
  </conditionalFormatting>
  <conditionalFormatting sqref="U342">
    <cfRule type="expression" dxfId="3" priority="571">
      <formula>TRUE</formula>
    </cfRule>
  </conditionalFormatting>
  <conditionalFormatting sqref="U343">
    <cfRule type="expression" dxfId="3" priority="573">
      <formula>TRUE</formula>
    </cfRule>
  </conditionalFormatting>
  <conditionalFormatting sqref="U344">
    <cfRule type="expression" dxfId="3" priority="575">
      <formula>TRUE</formula>
    </cfRule>
  </conditionalFormatting>
  <conditionalFormatting sqref="U345">
    <cfRule type="expression" dxfId="5" priority="577">
      <formula>TRUE</formula>
    </cfRule>
  </conditionalFormatting>
  <conditionalFormatting sqref="U350">
    <cfRule type="expression" dxfId="0" priority="598">
      <formula>TRUE</formula>
    </cfRule>
  </conditionalFormatting>
  <conditionalFormatting sqref="U350:Y355">
    <cfRule type="colorScale" priority="60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51">
    <cfRule type="expression" dxfId="3" priority="603">
      <formula>TRUE</formula>
    </cfRule>
  </conditionalFormatting>
  <conditionalFormatting sqref="U352">
    <cfRule type="expression" dxfId="3" priority="605">
      <formula>TRUE</formula>
    </cfRule>
  </conditionalFormatting>
  <conditionalFormatting sqref="U353">
    <cfRule type="expression" dxfId="3" priority="607">
      <formula>TRUE</formula>
    </cfRule>
  </conditionalFormatting>
  <conditionalFormatting sqref="U354">
    <cfRule type="expression" dxfId="3" priority="609">
      <formula>TRUE</formula>
    </cfRule>
  </conditionalFormatting>
  <conditionalFormatting sqref="U355">
    <cfRule type="expression" dxfId="5" priority="611">
      <formula>TRUE</formula>
    </cfRule>
  </conditionalFormatting>
  <conditionalFormatting sqref="U36">
    <cfRule type="expression" dxfId="0" priority="167">
      <formula>TRUE</formula>
    </cfRule>
  </conditionalFormatting>
  <conditionalFormatting sqref="U360">
    <cfRule type="expression" dxfId="0" priority="634">
      <formula>TRUE</formula>
    </cfRule>
  </conditionalFormatting>
  <conditionalFormatting sqref="U360:Y365">
    <cfRule type="colorScale" priority="62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61">
    <cfRule type="expression" dxfId="3" priority="639">
      <formula>TRUE</formula>
    </cfRule>
  </conditionalFormatting>
  <conditionalFormatting sqref="U362">
    <cfRule type="expression" dxfId="3" priority="641">
      <formula>TRUE</formula>
    </cfRule>
  </conditionalFormatting>
  <conditionalFormatting sqref="U363">
    <cfRule type="expression" dxfId="3" priority="643">
      <formula>TRUE</formula>
    </cfRule>
  </conditionalFormatting>
  <conditionalFormatting sqref="U364">
    <cfRule type="expression" dxfId="3" priority="645">
      <formula>TRUE</formula>
    </cfRule>
  </conditionalFormatting>
  <conditionalFormatting sqref="U365">
    <cfRule type="expression" dxfId="5" priority="647">
      <formula>TRUE</formula>
    </cfRule>
  </conditionalFormatting>
  <conditionalFormatting sqref="U368">
    <cfRule type="expression" dxfId="0" priority="652">
      <formula>TRUE</formula>
    </cfRule>
  </conditionalFormatting>
  <conditionalFormatting sqref="U368:Y373">
    <cfRule type="colorScale" priority="6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69">
    <cfRule type="expression" dxfId="3" priority="657">
      <formula>TRUE</formula>
    </cfRule>
  </conditionalFormatting>
  <conditionalFormatting sqref="U36:Y39">
    <cfRule type="colorScale" priority="6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7">
    <cfRule type="expression" dxfId="3" priority="172">
      <formula>TRUE</formula>
    </cfRule>
  </conditionalFormatting>
  <conditionalFormatting sqref="U370">
    <cfRule type="expression" dxfId="3" priority="659">
      <formula>TRUE</formula>
    </cfRule>
  </conditionalFormatting>
  <conditionalFormatting sqref="U371">
    <cfRule type="expression" dxfId="3" priority="661">
      <formula>TRUE</formula>
    </cfRule>
  </conditionalFormatting>
  <conditionalFormatting sqref="U372">
    <cfRule type="expression" dxfId="3" priority="663">
      <formula>TRUE</formula>
    </cfRule>
  </conditionalFormatting>
  <conditionalFormatting sqref="U373">
    <cfRule type="expression" dxfId="5" priority="665">
      <formula>TRUE</formula>
    </cfRule>
  </conditionalFormatting>
  <conditionalFormatting sqref="U378">
    <cfRule type="expression" dxfId="0" priority="686">
      <formula>TRUE</formula>
    </cfRule>
  </conditionalFormatting>
  <conditionalFormatting sqref="U378:Y381">
    <cfRule type="colorScale" priority="65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79">
    <cfRule type="expression" dxfId="3" priority="691">
      <formula>TRUE</formula>
    </cfRule>
  </conditionalFormatting>
  <conditionalFormatting sqref="U38">
    <cfRule type="expression" dxfId="3" priority="174">
      <formula>TRUE</formula>
    </cfRule>
  </conditionalFormatting>
  <conditionalFormatting sqref="U380">
    <cfRule type="expression" dxfId="3" priority="693">
      <formula>TRUE</formula>
    </cfRule>
  </conditionalFormatting>
  <conditionalFormatting sqref="U381">
    <cfRule type="expression" dxfId="5" priority="695">
      <formula>TRUE</formula>
    </cfRule>
  </conditionalFormatting>
  <conditionalFormatting sqref="U386">
    <cfRule type="expression" dxfId="0" priority="714">
      <formula>TRUE</formula>
    </cfRule>
  </conditionalFormatting>
  <conditionalFormatting sqref="U386:Y389">
    <cfRule type="colorScale" priority="67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87">
    <cfRule type="expression" dxfId="3" priority="719">
      <formula>TRUE</formula>
    </cfRule>
  </conditionalFormatting>
  <conditionalFormatting sqref="U388">
    <cfRule type="expression" dxfId="3" priority="721">
      <formula>TRUE</formula>
    </cfRule>
  </conditionalFormatting>
  <conditionalFormatting sqref="U389">
    <cfRule type="expression" dxfId="5" priority="723">
      <formula>TRUE</formula>
    </cfRule>
  </conditionalFormatting>
  <conditionalFormatting sqref="U39">
    <cfRule type="expression" dxfId="5" priority="176">
      <formula>TRUE</formula>
    </cfRule>
  </conditionalFormatting>
  <conditionalFormatting sqref="U394">
    <cfRule type="expression" dxfId="8" priority="728">
      <formula>TRUE</formula>
    </cfRule>
  </conditionalFormatting>
  <conditionalFormatting sqref="U394:Y394">
    <cfRule type="colorScale" priority="68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98">
    <cfRule type="expression" dxfId="0" priority="733">
      <formula>TRUE</formula>
    </cfRule>
  </conditionalFormatting>
  <conditionalFormatting sqref="U398:Y401">
    <cfRule type="colorScale" priority="69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399">
    <cfRule type="expression" dxfId="3" priority="738">
      <formula>TRUE</formula>
    </cfRule>
  </conditionalFormatting>
  <conditionalFormatting sqref="U400">
    <cfRule type="expression" dxfId="3" priority="740">
      <formula>TRUE</formula>
    </cfRule>
  </conditionalFormatting>
  <conditionalFormatting sqref="U401">
    <cfRule type="expression" dxfId="5" priority="742">
      <formula>TRUE</formula>
    </cfRule>
  </conditionalFormatting>
  <conditionalFormatting sqref="U405">
    <cfRule type="expression" dxfId="0" priority="751">
      <formula>TRUE</formula>
    </cfRule>
  </conditionalFormatting>
  <conditionalFormatting sqref="U405:Y408">
    <cfRule type="colorScale" priority="70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406">
    <cfRule type="expression" dxfId="3" priority="756">
      <formula>TRUE</formula>
    </cfRule>
  </conditionalFormatting>
  <conditionalFormatting sqref="U407">
    <cfRule type="expression" dxfId="3" priority="758">
      <formula>TRUE</formula>
    </cfRule>
  </conditionalFormatting>
  <conditionalFormatting sqref="U408">
    <cfRule type="expression" dxfId="5" priority="760">
      <formula>TRUE</formula>
    </cfRule>
  </conditionalFormatting>
  <conditionalFormatting sqref="U413">
    <cfRule type="expression" dxfId="0" priority="785">
      <formula>TRUE</formula>
    </cfRule>
  </conditionalFormatting>
  <conditionalFormatting sqref="U413:Y420">
    <cfRule type="colorScale" priority="7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414">
    <cfRule type="expression" dxfId="3" priority="790">
      <formula>TRUE</formula>
    </cfRule>
  </conditionalFormatting>
  <conditionalFormatting sqref="U415">
    <cfRule type="expression" dxfId="3" priority="792">
      <formula>TRUE</formula>
    </cfRule>
  </conditionalFormatting>
  <conditionalFormatting sqref="U416">
    <cfRule type="expression" dxfId="3" priority="794">
      <formula>TRUE</formula>
    </cfRule>
  </conditionalFormatting>
  <conditionalFormatting sqref="U417">
    <cfRule type="expression" dxfId="3" priority="796">
      <formula>TRUE</formula>
    </cfRule>
  </conditionalFormatting>
  <conditionalFormatting sqref="U418">
    <cfRule type="expression" dxfId="3" priority="798">
      <formula>TRUE</formula>
    </cfRule>
  </conditionalFormatting>
  <conditionalFormatting sqref="U419">
    <cfRule type="expression" dxfId="3" priority="800">
      <formula>TRUE</formula>
    </cfRule>
  </conditionalFormatting>
  <conditionalFormatting sqref="U420">
    <cfRule type="expression" dxfId="5" priority="802">
      <formula>TRUE</formula>
    </cfRule>
  </conditionalFormatting>
  <conditionalFormatting sqref="U43">
    <cfRule type="expression" dxfId="0" priority="153">
      <formula>TRUE</formula>
    </cfRule>
  </conditionalFormatting>
  <conditionalFormatting sqref="U43:Y46">
    <cfRule type="colorScale" priority="7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44">
    <cfRule type="expression" dxfId="3" priority="158">
      <formula>TRUE</formula>
    </cfRule>
  </conditionalFormatting>
  <conditionalFormatting sqref="U45">
    <cfRule type="expression" dxfId="3" priority="160">
      <formula>TRUE</formula>
    </cfRule>
  </conditionalFormatting>
  <conditionalFormatting sqref="U46">
    <cfRule type="expression" dxfId="5" priority="162">
      <formula>TRUE</formula>
    </cfRule>
  </conditionalFormatting>
  <conditionalFormatting sqref="U5">
    <cfRule type="expression" dxfId="0" priority="94">
      <formula>TRUE</formula>
    </cfRule>
  </conditionalFormatting>
  <conditionalFormatting sqref="U51:Y58">
    <cfRule type="colorScale" priority="10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5:Y12">
    <cfRule type="colorScale" priority="2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6">
    <cfRule type="expression" dxfId="3" priority="99">
      <formula>TRUE</formula>
    </cfRule>
  </conditionalFormatting>
  <conditionalFormatting sqref="U63">
    <cfRule type="expression" dxfId="0" priority="181">
      <formula>TRUE</formula>
    </cfRule>
  </conditionalFormatting>
  <conditionalFormatting sqref="U63:Y70">
    <cfRule type="colorScale" priority="11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64">
    <cfRule type="expression" dxfId="3" priority="186">
      <formula>TRUE</formula>
    </cfRule>
  </conditionalFormatting>
  <conditionalFormatting sqref="U65">
    <cfRule type="expression" dxfId="3" priority="188">
      <formula>TRUE</formula>
    </cfRule>
  </conditionalFormatting>
  <conditionalFormatting sqref="U66">
    <cfRule type="expression" dxfId="3" priority="190">
      <formula>TRUE</formula>
    </cfRule>
  </conditionalFormatting>
  <conditionalFormatting sqref="U67">
    <cfRule type="expression" dxfId="3" priority="192">
      <formula>TRUE</formula>
    </cfRule>
  </conditionalFormatting>
  <conditionalFormatting sqref="U68">
    <cfRule type="expression" dxfId="3" priority="194">
      <formula>TRUE</formula>
    </cfRule>
  </conditionalFormatting>
  <conditionalFormatting sqref="U69">
    <cfRule type="expression" dxfId="3" priority="196">
      <formula>TRUE</formula>
    </cfRule>
  </conditionalFormatting>
  <conditionalFormatting sqref="U7">
    <cfRule type="expression" dxfId="3" priority="101">
      <formula>TRUE</formula>
    </cfRule>
  </conditionalFormatting>
  <conditionalFormatting sqref="U70">
    <cfRule type="expression" dxfId="5" priority="198">
      <formula>TRUE</formula>
    </cfRule>
  </conditionalFormatting>
  <conditionalFormatting sqref="U74">
    <cfRule type="expression" dxfId="0" priority="243">
      <formula>TRUE</formula>
    </cfRule>
  </conditionalFormatting>
  <conditionalFormatting sqref="U74:Y81">
    <cfRule type="colorScale" priority="12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75">
    <cfRule type="expression" dxfId="3" priority="248">
      <formula>TRUE</formula>
    </cfRule>
  </conditionalFormatting>
  <conditionalFormatting sqref="U76">
    <cfRule type="expression" dxfId="3" priority="250">
      <formula>TRUE</formula>
    </cfRule>
  </conditionalFormatting>
  <conditionalFormatting sqref="U77">
    <cfRule type="expression" dxfId="3" priority="252">
      <formula>TRUE</formula>
    </cfRule>
  </conditionalFormatting>
  <conditionalFormatting sqref="U78">
    <cfRule type="expression" dxfId="3" priority="254">
      <formula>TRUE</formula>
    </cfRule>
  </conditionalFormatting>
  <conditionalFormatting sqref="U79">
    <cfRule type="expression" dxfId="3" priority="256">
      <formula>TRUE</formula>
    </cfRule>
  </conditionalFormatting>
  <conditionalFormatting sqref="U8">
    <cfRule type="expression" dxfId="3" priority="103">
      <formula>TRUE</formula>
    </cfRule>
  </conditionalFormatting>
  <conditionalFormatting sqref="U80">
    <cfRule type="expression" dxfId="3" priority="258">
      <formula>TRUE</formula>
    </cfRule>
  </conditionalFormatting>
  <conditionalFormatting sqref="U81">
    <cfRule type="expression" dxfId="5" priority="260">
      <formula>TRUE</formula>
    </cfRule>
  </conditionalFormatting>
  <conditionalFormatting sqref="U85:Y92">
    <cfRule type="colorScale" priority="13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U9">
    <cfRule type="expression" dxfId="3" priority="105">
      <formula>TRUE</formula>
    </cfRule>
  </conditionalFormatting>
  <conditionalFormatting sqref="U97:Y104">
    <cfRule type="colorScale" priority="25">
      <colorScale>
        <cfvo type="min" val="0"/>
        <cfvo type="percentile" val="50"/>
        <cfvo type="max" val="0"/>
        <color rgb="FF79A0E5"/>
        <color rgb="FFF4F4F4"/>
        <color rgb="FFFF6754"/>
      </colorScale>
    </cfRule>
  </conditionalFormatting>
  <conditionalFormatting sqref="V12">
    <cfRule type="expression" dxfId="6" priority="112">
      <formula>TRUE</formula>
    </cfRule>
  </conditionalFormatting>
  <conditionalFormatting sqref="V129">
    <cfRule type="expression" dxfId="1" priority="266">
      <formula>TRUE</formula>
    </cfRule>
  </conditionalFormatting>
  <conditionalFormatting sqref="V144">
    <cfRule type="expression" dxfId="6" priority="299">
      <formula>TRUE</formula>
    </cfRule>
  </conditionalFormatting>
  <conditionalFormatting sqref="V148">
    <cfRule type="expression" dxfId="1" priority="344">
      <formula>TRUE</formula>
    </cfRule>
  </conditionalFormatting>
  <conditionalFormatting sqref="V16">
    <cfRule type="expression" dxfId="1" priority="117">
      <formula>TRUE</formula>
    </cfRule>
  </conditionalFormatting>
  <conditionalFormatting sqref="V163">
    <cfRule type="expression" dxfId="6" priority="377">
      <formula>TRUE</formula>
    </cfRule>
  </conditionalFormatting>
  <conditionalFormatting sqref="V19">
    <cfRule type="expression" dxfId="6" priority="126">
      <formula>TRUE</formula>
    </cfRule>
  </conditionalFormatting>
  <conditionalFormatting sqref="V234">
    <cfRule type="expression" dxfId="1" priority="382">
      <formula>TRUE</formula>
    </cfRule>
  </conditionalFormatting>
  <conditionalFormatting sqref="V237">
    <cfRule type="expression" dxfId="6" priority="391">
      <formula>TRUE</formula>
    </cfRule>
  </conditionalFormatting>
  <conditionalFormatting sqref="V24">
    <cfRule type="expression" dxfId="1" priority="131">
      <formula>TRUE</formula>
    </cfRule>
  </conditionalFormatting>
  <conditionalFormatting sqref="V27">
    <cfRule type="expression" dxfId="6" priority="140">
      <formula>TRUE</formula>
    </cfRule>
  </conditionalFormatting>
  <conditionalFormatting sqref="V285">
    <cfRule type="expression" dxfId="1" priority="396">
      <formula>TRUE</formula>
    </cfRule>
  </conditionalFormatting>
  <conditionalFormatting sqref="V300">
    <cfRule type="expression" dxfId="6" priority="429">
      <formula>TRUE</formula>
    </cfRule>
  </conditionalFormatting>
  <conditionalFormatting sqref="V305">
    <cfRule type="expression" dxfId="1" priority="470">
      <formula>TRUE</formula>
    </cfRule>
  </conditionalFormatting>
  <conditionalFormatting sqref="V308">
    <cfRule type="expression" dxfId="6" priority="479">
      <formula>TRUE</formula>
    </cfRule>
  </conditionalFormatting>
  <conditionalFormatting sqref="V313">
    <cfRule type="expression" dxfId="1" priority="498">
      <formula>TRUE</formula>
    </cfRule>
  </conditionalFormatting>
  <conditionalFormatting sqref="V316">
    <cfRule type="expression" dxfId="6" priority="507">
      <formula>TRUE</formula>
    </cfRule>
  </conditionalFormatting>
  <conditionalFormatting sqref="V32">
    <cfRule type="expression" dxfId="9" priority="145">
      <formula>TRUE</formula>
    </cfRule>
  </conditionalFormatting>
  <conditionalFormatting sqref="V321">
    <cfRule type="expression" dxfId="9" priority="512">
      <formula>TRUE</formula>
    </cfRule>
  </conditionalFormatting>
  <conditionalFormatting sqref="V325">
    <cfRule type="expression" dxfId="1" priority="517">
      <formula>TRUE</formula>
    </cfRule>
  </conditionalFormatting>
  <conditionalFormatting sqref="V328">
    <cfRule type="expression" dxfId="6" priority="526">
      <formula>TRUE</formula>
    </cfRule>
  </conditionalFormatting>
  <conditionalFormatting sqref="V332">
    <cfRule type="expression" dxfId="1" priority="535">
      <formula>TRUE</formula>
    </cfRule>
  </conditionalFormatting>
  <conditionalFormatting sqref="V335">
    <cfRule type="expression" dxfId="6" priority="544">
      <formula>TRUE</formula>
    </cfRule>
  </conditionalFormatting>
  <conditionalFormatting sqref="V340">
    <cfRule type="expression" dxfId="1" priority="565">
      <formula>TRUE</formula>
    </cfRule>
  </conditionalFormatting>
  <conditionalFormatting sqref="V345">
    <cfRule type="expression" dxfId="6" priority="578">
      <formula>TRUE</formula>
    </cfRule>
  </conditionalFormatting>
  <conditionalFormatting sqref="V350">
    <cfRule type="expression" dxfId="1" priority="599">
      <formula>TRUE</formula>
    </cfRule>
  </conditionalFormatting>
  <conditionalFormatting sqref="V355">
    <cfRule type="expression" dxfId="6" priority="612">
      <formula>TRUE</formula>
    </cfRule>
  </conditionalFormatting>
  <conditionalFormatting sqref="V36">
    <cfRule type="expression" dxfId="1" priority="168">
      <formula>TRUE</formula>
    </cfRule>
  </conditionalFormatting>
  <conditionalFormatting sqref="V360">
    <cfRule type="expression" dxfId="1" priority="635">
      <formula>TRUE</formula>
    </cfRule>
  </conditionalFormatting>
  <conditionalFormatting sqref="V365">
    <cfRule type="expression" dxfId="6" priority="648">
      <formula>TRUE</formula>
    </cfRule>
  </conditionalFormatting>
  <conditionalFormatting sqref="V368">
    <cfRule type="expression" dxfId="1" priority="653">
      <formula>TRUE</formula>
    </cfRule>
  </conditionalFormatting>
  <conditionalFormatting sqref="V373">
    <cfRule type="expression" dxfId="6" priority="666">
      <formula>TRUE</formula>
    </cfRule>
  </conditionalFormatting>
  <conditionalFormatting sqref="V378">
    <cfRule type="expression" dxfId="1" priority="687">
      <formula>TRUE</formula>
    </cfRule>
  </conditionalFormatting>
  <conditionalFormatting sqref="V381">
    <cfRule type="expression" dxfId="6" priority="696">
      <formula>TRUE</formula>
    </cfRule>
  </conditionalFormatting>
  <conditionalFormatting sqref="V386">
    <cfRule type="expression" dxfId="1" priority="715">
      <formula>TRUE</formula>
    </cfRule>
  </conditionalFormatting>
  <conditionalFormatting sqref="V389">
    <cfRule type="expression" dxfId="6" priority="724">
      <formula>TRUE</formula>
    </cfRule>
  </conditionalFormatting>
  <conditionalFormatting sqref="V39">
    <cfRule type="expression" dxfId="6" priority="177">
      <formula>TRUE</formula>
    </cfRule>
  </conditionalFormatting>
  <conditionalFormatting sqref="V394">
    <cfRule type="expression" dxfId="9" priority="729">
      <formula>TRUE</formula>
    </cfRule>
  </conditionalFormatting>
  <conditionalFormatting sqref="V398">
    <cfRule type="expression" dxfId="1" priority="734">
      <formula>TRUE</formula>
    </cfRule>
  </conditionalFormatting>
  <conditionalFormatting sqref="V401">
    <cfRule type="expression" dxfId="6" priority="743">
      <formula>TRUE</formula>
    </cfRule>
  </conditionalFormatting>
  <conditionalFormatting sqref="V405">
    <cfRule type="expression" dxfId="1" priority="752">
      <formula>TRUE</formula>
    </cfRule>
  </conditionalFormatting>
  <conditionalFormatting sqref="V408">
    <cfRule type="expression" dxfId="6" priority="761">
      <formula>TRUE</formula>
    </cfRule>
  </conditionalFormatting>
  <conditionalFormatting sqref="V413">
    <cfRule type="expression" dxfId="1" priority="786">
      <formula>TRUE</formula>
    </cfRule>
  </conditionalFormatting>
  <conditionalFormatting sqref="V420">
    <cfRule type="expression" dxfId="6" priority="803">
      <formula>TRUE</formula>
    </cfRule>
  </conditionalFormatting>
  <conditionalFormatting sqref="V43">
    <cfRule type="expression" dxfId="1" priority="154">
      <formula>TRUE</formula>
    </cfRule>
  </conditionalFormatting>
  <conditionalFormatting sqref="V46">
    <cfRule type="expression" dxfId="6" priority="163">
      <formula>TRUE</formula>
    </cfRule>
  </conditionalFormatting>
  <conditionalFormatting sqref="V5">
    <cfRule type="expression" dxfId="1" priority="95">
      <formula>TRUE</formula>
    </cfRule>
  </conditionalFormatting>
  <conditionalFormatting sqref="V63">
    <cfRule type="expression" dxfId="1" priority="182">
      <formula>TRUE</formula>
    </cfRule>
  </conditionalFormatting>
  <conditionalFormatting sqref="V70">
    <cfRule type="expression" dxfId="6" priority="199">
      <formula>TRUE</formula>
    </cfRule>
  </conditionalFormatting>
  <conditionalFormatting sqref="V74">
    <cfRule type="expression" dxfId="1" priority="244">
      <formula>TRUE</formula>
    </cfRule>
  </conditionalFormatting>
  <conditionalFormatting sqref="V81">
    <cfRule type="expression" dxfId="6" priority="261">
      <formula>TRUE</formula>
    </cfRule>
  </conditionalFormatting>
  <conditionalFormatting sqref="W12">
    <cfRule type="expression" dxfId="6" priority="113">
      <formula>TRUE</formula>
    </cfRule>
  </conditionalFormatting>
  <conditionalFormatting sqref="W129">
    <cfRule type="expression" dxfId="1" priority="267">
      <formula>TRUE</formula>
    </cfRule>
  </conditionalFormatting>
  <conditionalFormatting sqref="W144">
    <cfRule type="expression" dxfId="6" priority="300">
      <formula>TRUE</formula>
    </cfRule>
  </conditionalFormatting>
  <conditionalFormatting sqref="W148">
    <cfRule type="expression" dxfId="1" priority="345">
      <formula>TRUE</formula>
    </cfRule>
  </conditionalFormatting>
  <conditionalFormatting sqref="W16">
    <cfRule type="expression" dxfId="1" priority="118">
      <formula>TRUE</formula>
    </cfRule>
  </conditionalFormatting>
  <conditionalFormatting sqref="W163">
    <cfRule type="expression" dxfId="6" priority="378">
      <formula>TRUE</formula>
    </cfRule>
  </conditionalFormatting>
  <conditionalFormatting sqref="W19">
    <cfRule type="expression" dxfId="6" priority="127">
      <formula>TRUE</formula>
    </cfRule>
  </conditionalFormatting>
  <conditionalFormatting sqref="W234">
    <cfRule type="expression" dxfId="1" priority="383">
      <formula>TRUE</formula>
    </cfRule>
  </conditionalFormatting>
  <conditionalFormatting sqref="W237">
    <cfRule type="expression" dxfId="6" priority="392">
      <formula>TRUE</formula>
    </cfRule>
  </conditionalFormatting>
  <conditionalFormatting sqref="W24">
    <cfRule type="expression" dxfId="1" priority="132">
      <formula>TRUE</formula>
    </cfRule>
  </conditionalFormatting>
  <conditionalFormatting sqref="W27">
    <cfRule type="expression" dxfId="6" priority="141">
      <formula>TRUE</formula>
    </cfRule>
  </conditionalFormatting>
  <conditionalFormatting sqref="W285">
    <cfRule type="expression" dxfId="1" priority="397">
      <formula>TRUE</formula>
    </cfRule>
  </conditionalFormatting>
  <conditionalFormatting sqref="W300">
    <cfRule type="expression" dxfId="6" priority="430">
      <formula>TRUE</formula>
    </cfRule>
  </conditionalFormatting>
  <conditionalFormatting sqref="W305">
    <cfRule type="expression" dxfId="1" priority="471">
      <formula>TRUE</formula>
    </cfRule>
  </conditionalFormatting>
  <conditionalFormatting sqref="W308">
    <cfRule type="expression" dxfId="6" priority="480">
      <formula>TRUE</formula>
    </cfRule>
  </conditionalFormatting>
  <conditionalFormatting sqref="W313">
    <cfRule type="expression" dxfId="1" priority="499">
      <formula>TRUE</formula>
    </cfRule>
  </conditionalFormatting>
  <conditionalFormatting sqref="W316">
    <cfRule type="expression" dxfId="6" priority="508">
      <formula>TRUE</formula>
    </cfRule>
  </conditionalFormatting>
  <conditionalFormatting sqref="W32">
    <cfRule type="expression" dxfId="9" priority="146">
      <formula>TRUE</formula>
    </cfRule>
  </conditionalFormatting>
  <conditionalFormatting sqref="W321">
    <cfRule type="expression" dxfId="9" priority="513">
      <formula>TRUE</formula>
    </cfRule>
  </conditionalFormatting>
  <conditionalFormatting sqref="W325">
    <cfRule type="expression" dxfId="1" priority="518">
      <formula>TRUE</formula>
    </cfRule>
  </conditionalFormatting>
  <conditionalFormatting sqref="W328">
    <cfRule type="expression" dxfId="6" priority="527">
      <formula>TRUE</formula>
    </cfRule>
  </conditionalFormatting>
  <conditionalFormatting sqref="W332">
    <cfRule type="expression" dxfId="1" priority="536">
      <formula>TRUE</formula>
    </cfRule>
  </conditionalFormatting>
  <conditionalFormatting sqref="W335">
    <cfRule type="expression" dxfId="6" priority="545">
      <formula>TRUE</formula>
    </cfRule>
  </conditionalFormatting>
  <conditionalFormatting sqref="W340">
    <cfRule type="expression" dxfId="1" priority="566">
      <formula>TRUE</formula>
    </cfRule>
  </conditionalFormatting>
  <conditionalFormatting sqref="W345">
    <cfRule type="expression" dxfId="6" priority="579">
      <formula>TRUE</formula>
    </cfRule>
  </conditionalFormatting>
  <conditionalFormatting sqref="W350">
    <cfRule type="expression" dxfId="1" priority="600">
      <formula>TRUE</formula>
    </cfRule>
  </conditionalFormatting>
  <conditionalFormatting sqref="W355">
    <cfRule type="expression" dxfId="6" priority="613">
      <formula>TRUE</formula>
    </cfRule>
  </conditionalFormatting>
  <conditionalFormatting sqref="W36">
    <cfRule type="expression" dxfId="1" priority="169">
      <formula>TRUE</formula>
    </cfRule>
  </conditionalFormatting>
  <conditionalFormatting sqref="W360">
    <cfRule type="expression" dxfId="1" priority="636">
      <formula>TRUE</formula>
    </cfRule>
  </conditionalFormatting>
  <conditionalFormatting sqref="W365">
    <cfRule type="expression" dxfId="6" priority="649">
      <formula>TRUE</formula>
    </cfRule>
  </conditionalFormatting>
  <conditionalFormatting sqref="W368">
    <cfRule type="expression" dxfId="1" priority="654">
      <formula>TRUE</formula>
    </cfRule>
  </conditionalFormatting>
  <conditionalFormatting sqref="W373">
    <cfRule type="expression" dxfId="6" priority="667">
      <formula>TRUE</formula>
    </cfRule>
  </conditionalFormatting>
  <conditionalFormatting sqref="W378">
    <cfRule type="expression" dxfId="1" priority="688">
      <formula>TRUE</formula>
    </cfRule>
  </conditionalFormatting>
  <conditionalFormatting sqref="W381">
    <cfRule type="expression" dxfId="6" priority="697">
      <formula>TRUE</formula>
    </cfRule>
  </conditionalFormatting>
  <conditionalFormatting sqref="W386">
    <cfRule type="expression" dxfId="1" priority="716">
      <formula>TRUE</formula>
    </cfRule>
  </conditionalFormatting>
  <conditionalFormatting sqref="W389">
    <cfRule type="expression" dxfId="6" priority="725">
      <formula>TRUE</formula>
    </cfRule>
  </conditionalFormatting>
  <conditionalFormatting sqref="W39">
    <cfRule type="expression" dxfId="6" priority="178">
      <formula>TRUE</formula>
    </cfRule>
  </conditionalFormatting>
  <conditionalFormatting sqref="W394">
    <cfRule type="expression" dxfId="9" priority="730">
      <formula>TRUE</formula>
    </cfRule>
  </conditionalFormatting>
  <conditionalFormatting sqref="W398">
    <cfRule type="expression" dxfId="1" priority="735">
      <formula>TRUE</formula>
    </cfRule>
  </conditionalFormatting>
  <conditionalFormatting sqref="W401">
    <cfRule type="expression" dxfId="6" priority="744">
      <formula>TRUE</formula>
    </cfRule>
  </conditionalFormatting>
  <conditionalFormatting sqref="W405">
    <cfRule type="expression" dxfId="1" priority="753">
      <formula>TRUE</formula>
    </cfRule>
  </conditionalFormatting>
  <conditionalFormatting sqref="W408">
    <cfRule type="expression" dxfId="6" priority="762">
      <formula>TRUE</formula>
    </cfRule>
  </conditionalFormatting>
  <conditionalFormatting sqref="W413">
    <cfRule type="expression" dxfId="1" priority="787">
      <formula>TRUE</formula>
    </cfRule>
  </conditionalFormatting>
  <conditionalFormatting sqref="W420">
    <cfRule type="expression" dxfId="6" priority="804">
      <formula>TRUE</formula>
    </cfRule>
  </conditionalFormatting>
  <conditionalFormatting sqref="W43">
    <cfRule type="expression" dxfId="1" priority="155">
      <formula>TRUE</formula>
    </cfRule>
  </conditionalFormatting>
  <conditionalFormatting sqref="W46">
    <cfRule type="expression" dxfId="6" priority="164">
      <formula>TRUE</formula>
    </cfRule>
  </conditionalFormatting>
  <conditionalFormatting sqref="W5">
    <cfRule type="expression" dxfId="1" priority="96">
      <formula>TRUE</formula>
    </cfRule>
  </conditionalFormatting>
  <conditionalFormatting sqref="W63">
    <cfRule type="expression" dxfId="1" priority="183">
      <formula>TRUE</formula>
    </cfRule>
  </conditionalFormatting>
  <conditionalFormatting sqref="W70">
    <cfRule type="expression" dxfId="6" priority="200">
      <formula>TRUE</formula>
    </cfRule>
  </conditionalFormatting>
  <conditionalFormatting sqref="W74">
    <cfRule type="expression" dxfId="1" priority="245">
      <formula>TRUE</formula>
    </cfRule>
  </conditionalFormatting>
  <conditionalFormatting sqref="W81">
    <cfRule type="expression" dxfId="6" priority="262">
      <formula>TRUE</formula>
    </cfRule>
  </conditionalFormatting>
  <conditionalFormatting sqref="X12">
    <cfRule type="expression" dxfId="6" priority="114">
      <formula>TRUE</formula>
    </cfRule>
  </conditionalFormatting>
  <conditionalFormatting sqref="X129">
    <cfRule type="expression" dxfId="1" priority="268">
      <formula>TRUE</formula>
    </cfRule>
  </conditionalFormatting>
  <conditionalFormatting sqref="X144">
    <cfRule type="expression" dxfId="6" priority="301">
      <formula>TRUE</formula>
    </cfRule>
  </conditionalFormatting>
  <conditionalFormatting sqref="X148">
    <cfRule type="expression" dxfId="1" priority="346">
      <formula>TRUE</formula>
    </cfRule>
  </conditionalFormatting>
  <conditionalFormatting sqref="X16">
    <cfRule type="expression" dxfId="1" priority="119">
      <formula>TRUE</formula>
    </cfRule>
  </conditionalFormatting>
  <conditionalFormatting sqref="X163">
    <cfRule type="expression" dxfId="6" priority="379">
      <formula>TRUE</formula>
    </cfRule>
  </conditionalFormatting>
  <conditionalFormatting sqref="X19">
    <cfRule type="expression" dxfId="6" priority="128">
      <formula>TRUE</formula>
    </cfRule>
  </conditionalFormatting>
  <conditionalFormatting sqref="X234">
    <cfRule type="expression" dxfId="1" priority="384">
      <formula>TRUE</formula>
    </cfRule>
  </conditionalFormatting>
  <conditionalFormatting sqref="X237">
    <cfRule type="expression" dxfId="6" priority="393">
      <formula>TRUE</formula>
    </cfRule>
  </conditionalFormatting>
  <conditionalFormatting sqref="X24">
    <cfRule type="expression" dxfId="1" priority="133">
      <formula>TRUE</formula>
    </cfRule>
  </conditionalFormatting>
  <conditionalFormatting sqref="X27">
    <cfRule type="expression" dxfId="6" priority="142">
      <formula>TRUE</formula>
    </cfRule>
  </conditionalFormatting>
  <conditionalFormatting sqref="X285">
    <cfRule type="expression" dxfId="1" priority="398">
      <formula>TRUE</formula>
    </cfRule>
  </conditionalFormatting>
  <conditionalFormatting sqref="X300">
    <cfRule type="expression" dxfId="6" priority="431">
      <formula>TRUE</formula>
    </cfRule>
  </conditionalFormatting>
  <conditionalFormatting sqref="X305">
    <cfRule type="expression" dxfId="1" priority="472">
      <formula>TRUE</formula>
    </cfRule>
  </conditionalFormatting>
  <conditionalFormatting sqref="X308">
    <cfRule type="expression" dxfId="6" priority="481">
      <formula>TRUE</formula>
    </cfRule>
  </conditionalFormatting>
  <conditionalFormatting sqref="X313">
    <cfRule type="expression" dxfId="1" priority="500">
      <formula>TRUE</formula>
    </cfRule>
  </conditionalFormatting>
  <conditionalFormatting sqref="X316">
    <cfRule type="expression" dxfId="6" priority="509">
      <formula>TRUE</formula>
    </cfRule>
  </conditionalFormatting>
  <conditionalFormatting sqref="X32">
    <cfRule type="expression" dxfId="9" priority="147">
      <formula>TRUE</formula>
    </cfRule>
  </conditionalFormatting>
  <conditionalFormatting sqref="X321">
    <cfRule type="expression" dxfId="9" priority="514">
      <formula>TRUE</formula>
    </cfRule>
  </conditionalFormatting>
  <conditionalFormatting sqref="X325">
    <cfRule type="expression" dxfId="1" priority="519">
      <formula>TRUE</formula>
    </cfRule>
  </conditionalFormatting>
  <conditionalFormatting sqref="X328">
    <cfRule type="expression" dxfId="6" priority="528">
      <formula>TRUE</formula>
    </cfRule>
  </conditionalFormatting>
  <conditionalFormatting sqref="X332">
    <cfRule type="expression" dxfId="1" priority="537">
      <formula>TRUE</formula>
    </cfRule>
  </conditionalFormatting>
  <conditionalFormatting sqref="X335">
    <cfRule type="expression" dxfId="6" priority="546">
      <formula>TRUE</formula>
    </cfRule>
  </conditionalFormatting>
  <conditionalFormatting sqref="X340">
    <cfRule type="expression" dxfId="1" priority="567">
      <formula>TRUE</formula>
    </cfRule>
  </conditionalFormatting>
  <conditionalFormatting sqref="X345">
    <cfRule type="expression" dxfId="6" priority="580">
      <formula>TRUE</formula>
    </cfRule>
  </conditionalFormatting>
  <conditionalFormatting sqref="X350">
    <cfRule type="expression" dxfId="1" priority="601">
      <formula>TRUE</formula>
    </cfRule>
  </conditionalFormatting>
  <conditionalFormatting sqref="X355">
    <cfRule type="expression" dxfId="6" priority="614">
      <formula>TRUE</formula>
    </cfRule>
  </conditionalFormatting>
  <conditionalFormatting sqref="X36">
    <cfRule type="expression" dxfId="1" priority="170">
      <formula>TRUE</formula>
    </cfRule>
  </conditionalFormatting>
  <conditionalFormatting sqref="X360">
    <cfRule type="expression" dxfId="1" priority="637">
      <formula>TRUE</formula>
    </cfRule>
  </conditionalFormatting>
  <conditionalFormatting sqref="X365">
    <cfRule type="expression" dxfId="6" priority="650">
      <formula>TRUE</formula>
    </cfRule>
  </conditionalFormatting>
  <conditionalFormatting sqref="X368">
    <cfRule type="expression" dxfId="1" priority="655">
      <formula>TRUE</formula>
    </cfRule>
  </conditionalFormatting>
  <conditionalFormatting sqref="X373">
    <cfRule type="expression" dxfId="6" priority="668">
      <formula>TRUE</formula>
    </cfRule>
  </conditionalFormatting>
  <conditionalFormatting sqref="X378">
    <cfRule type="expression" dxfId="1" priority="689">
      <formula>TRUE</formula>
    </cfRule>
  </conditionalFormatting>
  <conditionalFormatting sqref="X381">
    <cfRule type="expression" dxfId="6" priority="698">
      <formula>TRUE</formula>
    </cfRule>
  </conditionalFormatting>
  <conditionalFormatting sqref="X386">
    <cfRule type="expression" dxfId="1" priority="717">
      <formula>TRUE</formula>
    </cfRule>
  </conditionalFormatting>
  <conditionalFormatting sqref="X389">
    <cfRule type="expression" dxfId="6" priority="726">
      <formula>TRUE</formula>
    </cfRule>
  </conditionalFormatting>
  <conditionalFormatting sqref="X39">
    <cfRule type="expression" dxfId="6" priority="179">
      <formula>TRUE</formula>
    </cfRule>
  </conditionalFormatting>
  <conditionalFormatting sqref="X394">
    <cfRule type="expression" dxfId="9" priority="731">
      <formula>TRUE</formula>
    </cfRule>
  </conditionalFormatting>
  <conditionalFormatting sqref="X398">
    <cfRule type="expression" dxfId="1" priority="736">
      <formula>TRUE</formula>
    </cfRule>
  </conditionalFormatting>
  <conditionalFormatting sqref="X401">
    <cfRule type="expression" dxfId="6" priority="745">
      <formula>TRUE</formula>
    </cfRule>
  </conditionalFormatting>
  <conditionalFormatting sqref="X405">
    <cfRule type="expression" dxfId="1" priority="754">
      <formula>TRUE</formula>
    </cfRule>
  </conditionalFormatting>
  <conditionalFormatting sqref="X408">
    <cfRule type="expression" dxfId="6" priority="763">
      <formula>TRUE</formula>
    </cfRule>
  </conditionalFormatting>
  <conditionalFormatting sqref="X413">
    <cfRule type="expression" dxfId="1" priority="788">
      <formula>TRUE</formula>
    </cfRule>
  </conditionalFormatting>
  <conditionalFormatting sqref="X420">
    <cfRule type="expression" dxfId="6" priority="805">
      <formula>TRUE</formula>
    </cfRule>
  </conditionalFormatting>
  <conditionalFormatting sqref="X43">
    <cfRule type="expression" dxfId="1" priority="156">
      <formula>TRUE</formula>
    </cfRule>
  </conditionalFormatting>
  <conditionalFormatting sqref="X46">
    <cfRule type="expression" dxfId="6" priority="165">
      <formula>TRUE</formula>
    </cfRule>
  </conditionalFormatting>
  <conditionalFormatting sqref="X5">
    <cfRule type="expression" dxfId="1" priority="97">
      <formula>TRUE</formula>
    </cfRule>
  </conditionalFormatting>
  <conditionalFormatting sqref="X63">
    <cfRule type="expression" dxfId="1" priority="184">
      <formula>TRUE</formula>
    </cfRule>
  </conditionalFormatting>
  <conditionalFormatting sqref="X70">
    <cfRule type="expression" dxfId="6" priority="201">
      <formula>TRUE</formula>
    </cfRule>
  </conditionalFormatting>
  <conditionalFormatting sqref="X74">
    <cfRule type="expression" dxfId="1" priority="246">
      <formula>TRUE</formula>
    </cfRule>
  </conditionalFormatting>
  <conditionalFormatting sqref="X81">
    <cfRule type="expression" dxfId="6" priority="263">
      <formula>TRUE</formula>
    </cfRule>
  </conditionalFormatting>
  <conditionalFormatting sqref="Y10">
    <cfRule type="expression" dxfId="4" priority="108">
      <formula>TRUE</formula>
    </cfRule>
  </conditionalFormatting>
  <conditionalFormatting sqref="Y11">
    <cfRule type="expression" dxfId="4" priority="110">
      <formula>TRUE</formula>
    </cfRule>
  </conditionalFormatting>
  <conditionalFormatting sqref="Y12">
    <cfRule type="expression" dxfId="7" priority="115">
      <formula>TRUE</formula>
    </cfRule>
  </conditionalFormatting>
  <conditionalFormatting sqref="Y129">
    <cfRule type="expression" dxfId="2" priority="269">
      <formula>TRUE</formula>
    </cfRule>
  </conditionalFormatting>
  <conditionalFormatting sqref="Y130">
    <cfRule type="expression" dxfId="4" priority="271">
      <formula>TRUE</formula>
    </cfRule>
  </conditionalFormatting>
  <conditionalFormatting sqref="Y131">
    <cfRule type="expression" dxfId="4" priority="273">
      <formula>TRUE</formula>
    </cfRule>
  </conditionalFormatting>
  <conditionalFormatting sqref="Y132">
    <cfRule type="expression" dxfId="4" priority="275">
      <formula>TRUE</formula>
    </cfRule>
  </conditionalFormatting>
  <conditionalFormatting sqref="Y133">
    <cfRule type="expression" dxfId="4" priority="277">
      <formula>TRUE</formula>
    </cfRule>
  </conditionalFormatting>
  <conditionalFormatting sqref="Y134">
    <cfRule type="expression" dxfId="4" priority="279">
      <formula>TRUE</formula>
    </cfRule>
  </conditionalFormatting>
  <conditionalFormatting sqref="Y135">
    <cfRule type="expression" dxfId="4" priority="281">
      <formula>TRUE</formula>
    </cfRule>
  </conditionalFormatting>
  <conditionalFormatting sqref="Y136">
    <cfRule type="expression" dxfId="4" priority="283">
      <formula>TRUE</formula>
    </cfRule>
  </conditionalFormatting>
  <conditionalFormatting sqref="Y137">
    <cfRule type="expression" dxfId="4" priority="285">
      <formula>TRUE</formula>
    </cfRule>
  </conditionalFormatting>
  <conditionalFormatting sqref="Y138">
    <cfRule type="expression" dxfId="4" priority="287">
      <formula>TRUE</formula>
    </cfRule>
  </conditionalFormatting>
  <conditionalFormatting sqref="Y139">
    <cfRule type="expression" dxfId="4" priority="289">
      <formula>TRUE</formula>
    </cfRule>
  </conditionalFormatting>
  <conditionalFormatting sqref="Y140">
    <cfRule type="expression" dxfId="4" priority="291">
      <formula>TRUE</formula>
    </cfRule>
  </conditionalFormatting>
  <conditionalFormatting sqref="Y141">
    <cfRule type="expression" dxfId="4" priority="293">
      <formula>TRUE</formula>
    </cfRule>
  </conditionalFormatting>
  <conditionalFormatting sqref="Y142">
    <cfRule type="expression" dxfId="4" priority="295">
      <formula>TRUE</formula>
    </cfRule>
  </conditionalFormatting>
  <conditionalFormatting sqref="Y143">
    <cfRule type="expression" dxfId="4" priority="297">
      <formula>TRUE</formula>
    </cfRule>
  </conditionalFormatting>
  <conditionalFormatting sqref="Y144">
    <cfRule type="expression" dxfId="7" priority="302">
      <formula>TRUE</formula>
    </cfRule>
  </conditionalFormatting>
  <conditionalFormatting sqref="Y148">
    <cfRule type="expression" dxfId="2" priority="347">
      <formula>TRUE</formula>
    </cfRule>
  </conditionalFormatting>
  <conditionalFormatting sqref="Y149">
    <cfRule type="expression" dxfId="4" priority="349">
      <formula>TRUE</formula>
    </cfRule>
  </conditionalFormatting>
  <conditionalFormatting sqref="Y150">
    <cfRule type="expression" dxfId="4" priority="351">
      <formula>TRUE</formula>
    </cfRule>
  </conditionalFormatting>
  <conditionalFormatting sqref="Y151">
    <cfRule type="expression" dxfId="4" priority="353">
      <formula>TRUE</formula>
    </cfRule>
  </conditionalFormatting>
  <conditionalFormatting sqref="Y152">
    <cfRule type="expression" dxfId="4" priority="355">
      <formula>TRUE</formula>
    </cfRule>
  </conditionalFormatting>
  <conditionalFormatting sqref="Y153">
    <cfRule type="expression" dxfId="4" priority="357">
      <formula>TRUE</formula>
    </cfRule>
  </conditionalFormatting>
  <conditionalFormatting sqref="Y154">
    <cfRule type="expression" dxfId="4" priority="359">
      <formula>TRUE</formula>
    </cfRule>
  </conditionalFormatting>
  <conditionalFormatting sqref="Y155">
    <cfRule type="expression" dxfId="4" priority="361">
      <formula>TRUE</formula>
    </cfRule>
  </conditionalFormatting>
  <conditionalFormatting sqref="Y156">
    <cfRule type="expression" dxfId="4" priority="363">
      <formula>TRUE</formula>
    </cfRule>
  </conditionalFormatting>
  <conditionalFormatting sqref="Y157">
    <cfRule type="expression" dxfId="4" priority="365">
      <formula>TRUE</formula>
    </cfRule>
  </conditionalFormatting>
  <conditionalFormatting sqref="Y158">
    <cfRule type="expression" dxfId="4" priority="367">
      <formula>TRUE</formula>
    </cfRule>
  </conditionalFormatting>
  <conditionalFormatting sqref="Y159">
    <cfRule type="expression" dxfId="4" priority="369">
      <formula>TRUE</formula>
    </cfRule>
  </conditionalFormatting>
  <conditionalFormatting sqref="Y16">
    <cfRule type="expression" dxfId="2" priority="120">
      <formula>TRUE</formula>
    </cfRule>
  </conditionalFormatting>
  <conditionalFormatting sqref="Y160">
    <cfRule type="expression" dxfId="4" priority="371">
      <formula>TRUE</formula>
    </cfRule>
  </conditionalFormatting>
  <conditionalFormatting sqref="Y161">
    <cfRule type="expression" dxfId="4" priority="373">
      <formula>TRUE</formula>
    </cfRule>
  </conditionalFormatting>
  <conditionalFormatting sqref="Y162">
    <cfRule type="expression" dxfId="4" priority="375">
      <formula>TRUE</formula>
    </cfRule>
  </conditionalFormatting>
  <conditionalFormatting sqref="Y163">
    <cfRule type="expression" dxfId="7" priority="380">
      <formula>TRUE</formula>
    </cfRule>
  </conditionalFormatting>
  <conditionalFormatting sqref="Y17">
    <cfRule type="expression" dxfId="4" priority="122">
      <formula>TRUE</formula>
    </cfRule>
  </conditionalFormatting>
  <conditionalFormatting sqref="Y18">
    <cfRule type="expression" dxfId="4" priority="124">
      <formula>TRUE</formula>
    </cfRule>
  </conditionalFormatting>
  <conditionalFormatting sqref="Y19">
    <cfRule type="expression" dxfId="7" priority="129">
      <formula>TRUE</formula>
    </cfRule>
  </conditionalFormatting>
  <conditionalFormatting sqref="Y234">
    <cfRule type="expression" dxfId="2" priority="385">
      <formula>TRUE</formula>
    </cfRule>
  </conditionalFormatting>
  <conditionalFormatting sqref="Y235">
    <cfRule type="expression" dxfId="4" priority="387">
      <formula>TRUE</formula>
    </cfRule>
  </conditionalFormatting>
  <conditionalFormatting sqref="Y236">
    <cfRule type="expression" dxfId="4" priority="389">
      <formula>TRUE</formula>
    </cfRule>
  </conditionalFormatting>
  <conditionalFormatting sqref="Y237">
    <cfRule type="expression" dxfId="7" priority="394">
      <formula>TRUE</formula>
    </cfRule>
  </conditionalFormatting>
  <conditionalFormatting sqref="Y24">
    <cfRule type="expression" dxfId="2" priority="134">
      <formula>TRUE</formula>
    </cfRule>
  </conditionalFormatting>
  <conditionalFormatting sqref="Y25">
    <cfRule type="expression" dxfId="4" priority="136">
      <formula>TRUE</formula>
    </cfRule>
  </conditionalFormatting>
  <conditionalFormatting sqref="Y26">
    <cfRule type="expression" dxfId="4" priority="138">
      <formula>TRUE</formula>
    </cfRule>
  </conditionalFormatting>
  <conditionalFormatting sqref="Y27">
    <cfRule type="expression" dxfId="7" priority="143">
      <formula>TRUE</formula>
    </cfRule>
  </conditionalFormatting>
  <conditionalFormatting sqref="Y285">
    <cfRule type="expression" dxfId="2" priority="399">
      <formula>TRUE</formula>
    </cfRule>
  </conditionalFormatting>
  <conditionalFormatting sqref="Y286">
    <cfRule type="expression" dxfId="4" priority="401">
      <formula>TRUE</formula>
    </cfRule>
  </conditionalFormatting>
  <conditionalFormatting sqref="Y287">
    <cfRule type="expression" dxfId="4" priority="403">
      <formula>TRUE</formula>
    </cfRule>
  </conditionalFormatting>
  <conditionalFormatting sqref="Y288">
    <cfRule type="expression" dxfId="4" priority="405">
      <formula>TRUE</formula>
    </cfRule>
  </conditionalFormatting>
  <conditionalFormatting sqref="Y289">
    <cfRule type="expression" dxfId="4" priority="407">
      <formula>TRUE</formula>
    </cfRule>
  </conditionalFormatting>
  <conditionalFormatting sqref="Y290">
    <cfRule type="expression" dxfId="4" priority="409">
      <formula>TRUE</formula>
    </cfRule>
  </conditionalFormatting>
  <conditionalFormatting sqref="Y291">
    <cfRule type="expression" dxfId="4" priority="411">
      <formula>TRUE</formula>
    </cfRule>
  </conditionalFormatting>
  <conditionalFormatting sqref="Y292">
    <cfRule type="expression" dxfId="4" priority="413">
      <formula>TRUE</formula>
    </cfRule>
  </conditionalFormatting>
  <conditionalFormatting sqref="Y293">
    <cfRule type="expression" dxfId="4" priority="415">
      <formula>TRUE</formula>
    </cfRule>
  </conditionalFormatting>
  <conditionalFormatting sqref="Y294">
    <cfRule type="expression" dxfId="4" priority="417">
      <formula>TRUE</formula>
    </cfRule>
  </conditionalFormatting>
  <conditionalFormatting sqref="Y295">
    <cfRule type="expression" dxfId="4" priority="419">
      <formula>TRUE</formula>
    </cfRule>
  </conditionalFormatting>
  <conditionalFormatting sqref="Y296">
    <cfRule type="expression" dxfId="4" priority="421">
      <formula>TRUE</formula>
    </cfRule>
  </conditionalFormatting>
  <conditionalFormatting sqref="Y297">
    <cfRule type="expression" dxfId="4" priority="423">
      <formula>TRUE</formula>
    </cfRule>
  </conditionalFormatting>
  <conditionalFormatting sqref="Y298">
    <cfRule type="expression" dxfId="4" priority="425">
      <formula>TRUE</formula>
    </cfRule>
  </conditionalFormatting>
  <conditionalFormatting sqref="Y299">
    <cfRule type="expression" dxfId="4" priority="427">
      <formula>TRUE</formula>
    </cfRule>
  </conditionalFormatting>
  <conditionalFormatting sqref="Y300">
    <cfRule type="expression" dxfId="7" priority="432">
      <formula>TRUE</formula>
    </cfRule>
  </conditionalFormatting>
  <conditionalFormatting sqref="Y305">
    <cfRule type="expression" dxfId="2" priority="473">
      <formula>TRUE</formula>
    </cfRule>
  </conditionalFormatting>
  <conditionalFormatting sqref="Y306">
    <cfRule type="expression" dxfId="4" priority="475">
      <formula>TRUE</formula>
    </cfRule>
  </conditionalFormatting>
  <conditionalFormatting sqref="Y307">
    <cfRule type="expression" dxfId="4" priority="477">
      <formula>TRUE</formula>
    </cfRule>
  </conditionalFormatting>
  <conditionalFormatting sqref="Y308">
    <cfRule type="expression" dxfId="7" priority="482">
      <formula>TRUE</formula>
    </cfRule>
  </conditionalFormatting>
  <conditionalFormatting sqref="Y313">
    <cfRule type="expression" dxfId="2" priority="501">
      <formula>TRUE</formula>
    </cfRule>
  </conditionalFormatting>
  <conditionalFormatting sqref="Y314">
    <cfRule type="expression" dxfId="4" priority="503">
      <formula>TRUE</formula>
    </cfRule>
  </conditionalFormatting>
  <conditionalFormatting sqref="Y315">
    <cfRule type="expression" dxfId="4" priority="505">
      <formula>TRUE</formula>
    </cfRule>
  </conditionalFormatting>
  <conditionalFormatting sqref="Y316">
    <cfRule type="expression" dxfId="7" priority="510">
      <formula>TRUE</formula>
    </cfRule>
  </conditionalFormatting>
  <conditionalFormatting sqref="Y32">
    <cfRule type="expression" dxfId="10" priority="148">
      <formula>TRUE</formula>
    </cfRule>
  </conditionalFormatting>
  <conditionalFormatting sqref="Y321">
    <cfRule type="expression" dxfId="10" priority="515">
      <formula>TRUE</formula>
    </cfRule>
  </conditionalFormatting>
  <conditionalFormatting sqref="Y325">
    <cfRule type="expression" dxfId="2" priority="520">
      <formula>TRUE</formula>
    </cfRule>
  </conditionalFormatting>
  <conditionalFormatting sqref="Y326">
    <cfRule type="expression" dxfId="4" priority="522">
      <formula>TRUE</formula>
    </cfRule>
  </conditionalFormatting>
  <conditionalFormatting sqref="Y327">
    <cfRule type="expression" dxfId="4" priority="524">
      <formula>TRUE</formula>
    </cfRule>
  </conditionalFormatting>
  <conditionalFormatting sqref="Y328">
    <cfRule type="expression" dxfId="7" priority="529">
      <formula>TRUE</formula>
    </cfRule>
  </conditionalFormatting>
  <conditionalFormatting sqref="Y332">
    <cfRule type="expression" dxfId="2" priority="538">
      <formula>TRUE</formula>
    </cfRule>
  </conditionalFormatting>
  <conditionalFormatting sqref="Y333">
    <cfRule type="expression" dxfId="4" priority="540">
      <formula>TRUE</formula>
    </cfRule>
  </conditionalFormatting>
  <conditionalFormatting sqref="Y334">
    <cfRule type="expression" dxfId="4" priority="542">
      <formula>TRUE</formula>
    </cfRule>
  </conditionalFormatting>
  <conditionalFormatting sqref="Y335">
    <cfRule type="expression" dxfId="7" priority="547">
      <formula>TRUE</formula>
    </cfRule>
  </conditionalFormatting>
  <conditionalFormatting sqref="Y340">
    <cfRule type="expression" dxfId="2" priority="568">
      <formula>TRUE</formula>
    </cfRule>
  </conditionalFormatting>
  <conditionalFormatting sqref="Y341">
    <cfRule type="expression" dxfId="4" priority="570">
      <formula>TRUE</formula>
    </cfRule>
  </conditionalFormatting>
  <conditionalFormatting sqref="Y342">
    <cfRule type="expression" dxfId="4" priority="572">
      <formula>TRUE</formula>
    </cfRule>
  </conditionalFormatting>
  <conditionalFormatting sqref="Y343">
    <cfRule type="expression" dxfId="4" priority="574">
      <formula>TRUE</formula>
    </cfRule>
  </conditionalFormatting>
  <conditionalFormatting sqref="Y344">
    <cfRule type="expression" dxfId="4" priority="576">
      <formula>TRUE</formula>
    </cfRule>
  </conditionalFormatting>
  <conditionalFormatting sqref="Y345">
    <cfRule type="expression" dxfId="7" priority="581">
      <formula>TRUE</formula>
    </cfRule>
  </conditionalFormatting>
  <conditionalFormatting sqref="Y350">
    <cfRule type="expression" dxfId="2" priority="602">
      <formula>TRUE</formula>
    </cfRule>
  </conditionalFormatting>
  <conditionalFormatting sqref="Y351">
    <cfRule type="expression" dxfId="4" priority="604">
      <formula>TRUE</formula>
    </cfRule>
  </conditionalFormatting>
  <conditionalFormatting sqref="Y352">
    <cfRule type="expression" dxfId="4" priority="606">
      <formula>TRUE</formula>
    </cfRule>
  </conditionalFormatting>
  <conditionalFormatting sqref="Y353">
    <cfRule type="expression" dxfId="4" priority="608">
      <formula>TRUE</formula>
    </cfRule>
  </conditionalFormatting>
  <conditionalFormatting sqref="Y354">
    <cfRule type="expression" dxfId="4" priority="610">
      <formula>TRUE</formula>
    </cfRule>
  </conditionalFormatting>
  <conditionalFormatting sqref="Y355">
    <cfRule type="expression" dxfId="7" priority="615">
      <formula>TRUE</formula>
    </cfRule>
  </conditionalFormatting>
  <conditionalFormatting sqref="Y36">
    <cfRule type="expression" dxfId="2" priority="171">
      <formula>TRUE</formula>
    </cfRule>
  </conditionalFormatting>
  <conditionalFormatting sqref="Y360">
    <cfRule type="expression" dxfId="2" priority="638">
      <formula>TRUE</formula>
    </cfRule>
  </conditionalFormatting>
  <conditionalFormatting sqref="Y361">
    <cfRule type="expression" dxfId="4" priority="640">
      <formula>TRUE</formula>
    </cfRule>
  </conditionalFormatting>
  <conditionalFormatting sqref="Y362">
    <cfRule type="expression" dxfId="4" priority="642">
      <formula>TRUE</formula>
    </cfRule>
  </conditionalFormatting>
  <conditionalFormatting sqref="Y363">
    <cfRule type="expression" dxfId="4" priority="644">
      <formula>TRUE</formula>
    </cfRule>
  </conditionalFormatting>
  <conditionalFormatting sqref="Y364">
    <cfRule type="expression" dxfId="4" priority="646">
      <formula>TRUE</formula>
    </cfRule>
  </conditionalFormatting>
  <conditionalFormatting sqref="Y365">
    <cfRule type="expression" dxfId="7" priority="651">
      <formula>TRUE</formula>
    </cfRule>
  </conditionalFormatting>
  <conditionalFormatting sqref="Y368">
    <cfRule type="expression" dxfId="2" priority="656">
      <formula>TRUE</formula>
    </cfRule>
  </conditionalFormatting>
  <conditionalFormatting sqref="Y369">
    <cfRule type="expression" dxfId="4" priority="658">
      <formula>TRUE</formula>
    </cfRule>
  </conditionalFormatting>
  <conditionalFormatting sqref="Y37">
    <cfRule type="expression" dxfId="4" priority="173">
      <formula>TRUE</formula>
    </cfRule>
  </conditionalFormatting>
  <conditionalFormatting sqref="Y370">
    <cfRule type="expression" dxfId="4" priority="660">
      <formula>TRUE</formula>
    </cfRule>
  </conditionalFormatting>
  <conditionalFormatting sqref="Y371">
    <cfRule type="expression" dxfId="4" priority="662">
      <formula>TRUE</formula>
    </cfRule>
  </conditionalFormatting>
  <conditionalFormatting sqref="Y372">
    <cfRule type="expression" dxfId="4" priority="664">
      <formula>TRUE</formula>
    </cfRule>
  </conditionalFormatting>
  <conditionalFormatting sqref="Y373">
    <cfRule type="expression" dxfId="7" priority="669">
      <formula>TRUE</formula>
    </cfRule>
  </conditionalFormatting>
  <conditionalFormatting sqref="Y378">
    <cfRule type="expression" dxfId="2" priority="690">
      <formula>TRUE</formula>
    </cfRule>
  </conditionalFormatting>
  <conditionalFormatting sqref="Y379">
    <cfRule type="expression" dxfId="4" priority="692">
      <formula>TRUE</formula>
    </cfRule>
  </conditionalFormatting>
  <conditionalFormatting sqref="Y38">
    <cfRule type="expression" dxfId="4" priority="175">
      <formula>TRUE</formula>
    </cfRule>
  </conditionalFormatting>
  <conditionalFormatting sqref="Y380">
    <cfRule type="expression" dxfId="4" priority="694">
      <formula>TRUE</formula>
    </cfRule>
  </conditionalFormatting>
  <conditionalFormatting sqref="Y381">
    <cfRule type="expression" dxfId="7" priority="699">
      <formula>TRUE</formula>
    </cfRule>
  </conditionalFormatting>
  <conditionalFormatting sqref="Y386">
    <cfRule type="expression" dxfId="2" priority="718">
      <formula>TRUE</formula>
    </cfRule>
  </conditionalFormatting>
  <conditionalFormatting sqref="Y387">
    <cfRule type="expression" dxfId="4" priority="720">
      <formula>TRUE</formula>
    </cfRule>
  </conditionalFormatting>
  <conditionalFormatting sqref="Y388">
    <cfRule type="expression" dxfId="4" priority="722">
      <formula>TRUE</formula>
    </cfRule>
  </conditionalFormatting>
  <conditionalFormatting sqref="Y389">
    <cfRule type="expression" dxfId="7" priority="727">
      <formula>TRUE</formula>
    </cfRule>
  </conditionalFormatting>
  <conditionalFormatting sqref="Y39">
    <cfRule type="expression" dxfId="7" priority="180">
      <formula>TRUE</formula>
    </cfRule>
  </conditionalFormatting>
  <conditionalFormatting sqref="Y394">
    <cfRule type="expression" dxfId="10" priority="732">
      <formula>TRUE</formula>
    </cfRule>
  </conditionalFormatting>
  <conditionalFormatting sqref="Y398">
    <cfRule type="expression" dxfId="2" priority="737">
      <formula>TRUE</formula>
    </cfRule>
  </conditionalFormatting>
  <conditionalFormatting sqref="Y399">
    <cfRule type="expression" dxfId="4" priority="739">
      <formula>TRUE</formula>
    </cfRule>
  </conditionalFormatting>
  <conditionalFormatting sqref="Y400">
    <cfRule type="expression" dxfId="4" priority="741">
      <formula>TRUE</formula>
    </cfRule>
  </conditionalFormatting>
  <conditionalFormatting sqref="Y401">
    <cfRule type="expression" dxfId="7" priority="746">
      <formula>TRUE</formula>
    </cfRule>
  </conditionalFormatting>
  <conditionalFormatting sqref="Y405">
    <cfRule type="expression" dxfId="2" priority="755">
      <formula>TRUE</formula>
    </cfRule>
  </conditionalFormatting>
  <conditionalFormatting sqref="Y406">
    <cfRule type="expression" dxfId="4" priority="757">
      <formula>TRUE</formula>
    </cfRule>
  </conditionalFormatting>
  <conditionalFormatting sqref="Y407">
    <cfRule type="expression" dxfId="4" priority="759">
      <formula>TRUE</formula>
    </cfRule>
  </conditionalFormatting>
  <conditionalFormatting sqref="Y408">
    <cfRule type="expression" dxfId="7" priority="764">
      <formula>TRUE</formula>
    </cfRule>
  </conditionalFormatting>
  <conditionalFormatting sqref="Y413">
    <cfRule type="expression" dxfId="2" priority="789">
      <formula>TRUE</formula>
    </cfRule>
  </conditionalFormatting>
  <conditionalFormatting sqref="Y414">
    <cfRule type="expression" dxfId="4" priority="791">
      <formula>TRUE</formula>
    </cfRule>
  </conditionalFormatting>
  <conditionalFormatting sqref="Y415">
    <cfRule type="expression" dxfId="4" priority="793">
      <formula>TRUE</formula>
    </cfRule>
  </conditionalFormatting>
  <conditionalFormatting sqref="Y416">
    <cfRule type="expression" dxfId="4" priority="795">
      <formula>TRUE</formula>
    </cfRule>
  </conditionalFormatting>
  <conditionalFormatting sqref="Y417">
    <cfRule type="expression" dxfId="4" priority="797">
      <formula>TRUE</formula>
    </cfRule>
  </conditionalFormatting>
  <conditionalFormatting sqref="Y418">
    <cfRule type="expression" dxfId="4" priority="799">
      <formula>TRUE</formula>
    </cfRule>
  </conditionalFormatting>
  <conditionalFormatting sqref="Y419">
    <cfRule type="expression" dxfId="4" priority="801">
      <formula>TRUE</formula>
    </cfRule>
  </conditionalFormatting>
  <conditionalFormatting sqref="Y420">
    <cfRule type="expression" dxfId="7" priority="806">
      <formula>TRUE</formula>
    </cfRule>
  </conditionalFormatting>
  <conditionalFormatting sqref="Y43">
    <cfRule type="expression" dxfId="2" priority="157">
      <formula>TRUE</formula>
    </cfRule>
  </conditionalFormatting>
  <conditionalFormatting sqref="Y44">
    <cfRule type="expression" dxfId="4" priority="159">
      <formula>TRUE</formula>
    </cfRule>
  </conditionalFormatting>
  <conditionalFormatting sqref="Y45">
    <cfRule type="expression" dxfId="4" priority="161">
      <formula>TRUE</formula>
    </cfRule>
  </conditionalFormatting>
  <conditionalFormatting sqref="Y46">
    <cfRule type="expression" dxfId="7" priority="166">
      <formula>TRUE</formula>
    </cfRule>
  </conditionalFormatting>
  <conditionalFormatting sqref="Y5">
    <cfRule type="expression" dxfId="2" priority="98">
      <formula>TRUE</formula>
    </cfRule>
  </conditionalFormatting>
  <conditionalFormatting sqref="Y6">
    <cfRule type="expression" dxfId="4" priority="100">
      <formula>TRUE</formula>
    </cfRule>
  </conditionalFormatting>
  <conditionalFormatting sqref="Y63">
    <cfRule type="expression" dxfId="2" priority="185">
      <formula>TRUE</formula>
    </cfRule>
  </conditionalFormatting>
  <conditionalFormatting sqref="Y64">
    <cfRule type="expression" dxfId="4" priority="187">
      <formula>TRUE</formula>
    </cfRule>
  </conditionalFormatting>
  <conditionalFormatting sqref="Y65">
    <cfRule type="expression" dxfId="4" priority="189">
      <formula>TRUE</formula>
    </cfRule>
  </conditionalFormatting>
  <conditionalFormatting sqref="Y66">
    <cfRule type="expression" dxfId="4" priority="191">
      <formula>TRUE</formula>
    </cfRule>
  </conditionalFormatting>
  <conditionalFormatting sqref="Y67">
    <cfRule type="expression" dxfId="4" priority="193">
      <formula>TRUE</formula>
    </cfRule>
  </conditionalFormatting>
  <conditionalFormatting sqref="Y68">
    <cfRule type="expression" dxfId="4" priority="195">
      <formula>TRUE</formula>
    </cfRule>
  </conditionalFormatting>
  <conditionalFormatting sqref="Y69">
    <cfRule type="expression" dxfId="4" priority="197">
      <formula>TRUE</formula>
    </cfRule>
  </conditionalFormatting>
  <conditionalFormatting sqref="Y7">
    <cfRule type="expression" dxfId="4" priority="102">
      <formula>TRUE</formula>
    </cfRule>
  </conditionalFormatting>
  <conditionalFormatting sqref="Y70">
    <cfRule type="expression" dxfId="7" priority="202">
      <formula>TRUE</formula>
    </cfRule>
  </conditionalFormatting>
  <conditionalFormatting sqref="Y74">
    <cfRule type="expression" dxfId="2" priority="247">
      <formula>TRUE</formula>
    </cfRule>
  </conditionalFormatting>
  <conditionalFormatting sqref="Y75">
    <cfRule type="expression" dxfId="4" priority="249">
      <formula>TRUE</formula>
    </cfRule>
  </conditionalFormatting>
  <conditionalFormatting sqref="Y76">
    <cfRule type="expression" dxfId="4" priority="251">
      <formula>TRUE</formula>
    </cfRule>
  </conditionalFormatting>
  <conditionalFormatting sqref="Y77">
    <cfRule type="expression" dxfId="4" priority="253">
      <formula>TRUE</formula>
    </cfRule>
  </conditionalFormatting>
  <conditionalFormatting sqref="Y78">
    <cfRule type="expression" dxfId="4" priority="255">
      <formula>TRUE</formula>
    </cfRule>
  </conditionalFormatting>
  <conditionalFormatting sqref="Y79">
    <cfRule type="expression" dxfId="4" priority="257">
      <formula>TRUE</formula>
    </cfRule>
  </conditionalFormatting>
  <conditionalFormatting sqref="Y8">
    <cfRule type="expression" dxfId="4" priority="104">
      <formula>TRUE</formula>
    </cfRule>
  </conditionalFormatting>
  <conditionalFormatting sqref="Y80">
    <cfRule type="expression" dxfId="4" priority="259">
      <formula>TRUE</formula>
    </cfRule>
  </conditionalFormatting>
  <conditionalFormatting sqref="Y81">
    <cfRule type="expression" dxfId="7" priority="264">
      <formula>TRUE</formula>
    </cfRule>
  </conditionalFormatting>
  <conditionalFormatting sqref="Y9">
    <cfRule type="expression" dxfId="4" priority="106">
      <formula>TRUE</formula>
    </cfRule>
  </conditionalFormatting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132</vt:i4>
      </vt:variant>
    </vt:vector>
  </HeadingPairs>
  <TitlesOfParts>
    <vt:vector size="133" baseType="lpstr">
      <vt:lpstr>Pipeline</vt:lpstr>
      <vt:lpstr>step_01_embedding_weight</vt:lpstr>
      <vt:lpstr>step_01_output</vt:lpstr>
      <vt:lpstr>step_01_token_input</vt:lpstr>
      <vt:lpstr>step_02_output</vt:lpstr>
      <vt:lpstr>step_03_input</vt:lpstr>
      <vt:lpstr>step_03_normalized</vt:lpstr>
      <vt:lpstr>step_03_output</vt:lpstr>
      <vt:lpstr>step_03_rms</vt:lpstr>
      <vt:lpstr>step_03_scale</vt:lpstr>
      <vt:lpstr>step_04_input</vt:lpstr>
      <vt:lpstr>step_04_output</vt:lpstr>
      <vt:lpstr>step_04_output_k1</vt:lpstr>
      <vt:lpstr>step_04_output_k2</vt:lpstr>
      <vt:lpstr>step_04_projection_weight</vt:lpstr>
      <vt:lpstr>step_04_weight_k1</vt:lpstr>
      <vt:lpstr>step_04_weight_k2</vt:lpstr>
      <vt:lpstr>step_05_input</vt:lpstr>
      <vt:lpstr>step_05_output</vt:lpstr>
      <vt:lpstr>step_05_paired_input</vt:lpstr>
      <vt:lpstr>step_05_paired_output</vt:lpstr>
      <vt:lpstr>step_05_rotation_0_0</vt:lpstr>
      <vt:lpstr>step_05_rotation_0_1</vt:lpstr>
      <vt:lpstr>step_05_rotation_1_0</vt:lpstr>
      <vt:lpstr>step_05_rotation_1_1</vt:lpstr>
      <vt:lpstr>step_05_rotation_2_0</vt:lpstr>
      <vt:lpstr>step_05_rotation_2_1</vt:lpstr>
      <vt:lpstr>step_05_rotation_3_0</vt:lpstr>
      <vt:lpstr>step_05_rotation_3_1</vt:lpstr>
      <vt:lpstr>step_05_rotation_4_0</vt:lpstr>
      <vt:lpstr>step_05_rotation_4_1</vt:lpstr>
      <vt:lpstr>step_06_input</vt:lpstr>
      <vt:lpstr>step_06_output</vt:lpstr>
      <vt:lpstr>step_06_output_v1</vt:lpstr>
      <vt:lpstr>step_06_output_v2</vt:lpstr>
      <vt:lpstr>step_06_projection_weight</vt:lpstr>
      <vt:lpstr>step_06_weight_v1</vt:lpstr>
      <vt:lpstr>step_06_weight_v2</vt:lpstr>
      <vt:lpstr>step_07_input</vt:lpstr>
      <vt:lpstr>step_07_output</vt:lpstr>
      <vt:lpstr>step_07_output_q1</vt:lpstr>
      <vt:lpstr>step_07_output_q2</vt:lpstr>
      <vt:lpstr>step_07_output_q3</vt:lpstr>
      <vt:lpstr>step_07_output_q4</vt:lpstr>
      <vt:lpstr>step_07_projection_weight</vt:lpstr>
      <vt:lpstr>step_07_weight_q1</vt:lpstr>
      <vt:lpstr>step_07_weight_q2</vt:lpstr>
      <vt:lpstr>step_07_weight_q3</vt:lpstr>
      <vt:lpstr>step_07_weight_q4</vt:lpstr>
      <vt:lpstr>step_08_input</vt:lpstr>
      <vt:lpstr>step_08_output</vt:lpstr>
      <vt:lpstr>step_08_paired_input</vt:lpstr>
      <vt:lpstr>step_08_paired_output</vt:lpstr>
      <vt:lpstr>step_08_rotation_0_0</vt:lpstr>
      <vt:lpstr>step_08_rotation_0_1</vt:lpstr>
      <vt:lpstr>step_08_rotation_1_0</vt:lpstr>
      <vt:lpstr>step_08_rotation_1_1</vt:lpstr>
      <vt:lpstr>step_08_rotation_2_0</vt:lpstr>
      <vt:lpstr>step_08_rotation_2_1</vt:lpstr>
      <vt:lpstr>step_08_rotation_3_0</vt:lpstr>
      <vt:lpstr>step_08_rotation_3_1</vt:lpstr>
      <vt:lpstr>step_08_rotation_4_0</vt:lpstr>
      <vt:lpstr>step_08_rotation_4_1</vt:lpstr>
      <vt:lpstr>step_09_key_k1</vt:lpstr>
      <vt:lpstr>step_09_key_k2</vt:lpstr>
      <vt:lpstr>step_09_key_transpose_k1</vt:lpstr>
      <vt:lpstr>step_09_key_transpose_k2</vt:lpstr>
      <vt:lpstr>step_09_output</vt:lpstr>
      <vt:lpstr>step_09_output_q1</vt:lpstr>
      <vt:lpstr>step_09_output_q2</vt:lpstr>
      <vt:lpstr>step_09_output_q3</vt:lpstr>
      <vt:lpstr>step_09_output_q4</vt:lpstr>
      <vt:lpstr>step_09_query_q1</vt:lpstr>
      <vt:lpstr>step_09_query_q2</vt:lpstr>
      <vt:lpstr>step_09_query_q3</vt:lpstr>
      <vt:lpstr>step_09_query_q4</vt:lpstr>
      <vt:lpstr>step_10_input</vt:lpstr>
      <vt:lpstr>step_10_masked</vt:lpstr>
      <vt:lpstr>step_10_masked_q1</vt:lpstr>
      <vt:lpstr>step_10_masked_q2</vt:lpstr>
      <vt:lpstr>step_10_masked_q3</vt:lpstr>
      <vt:lpstr>step_10_masked_q4</vt:lpstr>
      <vt:lpstr>step_10_output</vt:lpstr>
      <vt:lpstr>step_10_output_q1</vt:lpstr>
      <vt:lpstr>step_10_output_q2</vt:lpstr>
      <vt:lpstr>step_10_output_q3</vt:lpstr>
      <vt:lpstr>step_10_output_q4</vt:lpstr>
      <vt:lpstr>step_10_partition</vt:lpstr>
      <vt:lpstr>step_10_partition_q1</vt:lpstr>
      <vt:lpstr>step_10_partition_q2</vt:lpstr>
      <vt:lpstr>step_10_partition_q3</vt:lpstr>
      <vt:lpstr>step_10_partition_q4</vt:lpstr>
      <vt:lpstr>step_11_attention_q1</vt:lpstr>
      <vt:lpstr>step_11_attention_q2</vt:lpstr>
      <vt:lpstr>step_11_attention_q3</vt:lpstr>
      <vt:lpstr>step_11_attention_q4</vt:lpstr>
      <vt:lpstr>step_11_output</vt:lpstr>
      <vt:lpstr>step_11_output_q1</vt:lpstr>
      <vt:lpstr>step_11_output_q2</vt:lpstr>
      <vt:lpstr>step_11_output_q3</vt:lpstr>
      <vt:lpstr>step_11_output_q4</vt:lpstr>
      <vt:lpstr>step_11_value</vt:lpstr>
      <vt:lpstr>step_11_value_v1</vt:lpstr>
      <vt:lpstr>step_11_value_v1</vt:lpstr>
      <vt:lpstr>step_11_value_v2</vt:lpstr>
      <vt:lpstr>step_11_value_v2</vt:lpstr>
      <vt:lpstr>step_12_input</vt:lpstr>
      <vt:lpstr>step_12_output</vt:lpstr>
      <vt:lpstr>step_13_output</vt:lpstr>
      <vt:lpstr>step_13_weight</vt:lpstr>
      <vt:lpstr>step_14_output</vt:lpstr>
      <vt:lpstr>step_14_residual</vt:lpstr>
      <vt:lpstr>step_15_normalized</vt:lpstr>
      <vt:lpstr>step_15_output</vt:lpstr>
      <vt:lpstr>step_15_rms</vt:lpstr>
      <vt:lpstr>step_15_scale</vt:lpstr>
      <vt:lpstr>step_16_output</vt:lpstr>
      <vt:lpstr>step_16_weight</vt:lpstr>
      <vt:lpstr>step_17_output</vt:lpstr>
      <vt:lpstr>step_17_weight</vt:lpstr>
      <vt:lpstr>step_18_activated</vt:lpstr>
      <vt:lpstr>step_18_gate</vt:lpstr>
      <vt:lpstr>step_18_output</vt:lpstr>
      <vt:lpstr>step_19_output</vt:lpstr>
      <vt:lpstr>step_19_weight</vt:lpstr>
      <vt:lpstr>step_20_output</vt:lpstr>
      <vt:lpstr>step_20_residual</vt:lpstr>
      <vt:lpstr>step_21_normalized</vt:lpstr>
      <vt:lpstr>step_21_output</vt:lpstr>
      <vt:lpstr>step_21_rms</vt:lpstr>
      <vt:lpstr>step_21_scale</vt:lpstr>
      <vt:lpstr>step_22_output</vt:lpstr>
      <vt:lpstr>step_22_weight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2026-09-25T16:48:23Z</dcterms:created>
  <dcterms:modified xsi:type="dcterms:W3CDTF">2026-09-25T16:48:23Z</dcterms:modified>
</cp:coreProperties>
</file>